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ance\Documents\Work Force\Vestas Intermediate 2021\2021 Intermediate Files\"/>
    </mc:Choice>
  </mc:AlternateContent>
  <xr:revisionPtr revIDLastSave="0" documentId="8_{C8895115-FA66-4FA2-AABE-CCAFC6FBC552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Insurance" sheetId="1" r:id="rId1"/>
    <sheet name="Payroll" sheetId="2" r:id="rId2"/>
  </sheets>
  <calcPr calcId="191029"/>
</workbook>
</file>

<file path=xl/calcChain.xml><?xml version="1.0" encoding="utf-8"?>
<calcChain xmlns="http://schemas.openxmlformats.org/spreadsheetml/2006/main">
  <c r="I24" i="2" l="1"/>
  <c r="H24" i="2"/>
  <c r="G24" i="2"/>
  <c r="F24" i="2"/>
  <c r="E24" i="2"/>
  <c r="D24" i="2"/>
  <c r="C24" i="2"/>
  <c r="M23" i="2"/>
  <c r="K23" i="2"/>
  <c r="J23" i="2"/>
  <c r="M22" i="2"/>
  <c r="K22" i="2"/>
  <c r="J22" i="2"/>
  <c r="K21" i="2"/>
  <c r="J21" i="2"/>
  <c r="M21" i="2" s="1"/>
  <c r="M20" i="2"/>
  <c r="K20" i="2"/>
  <c r="J20" i="2"/>
  <c r="M19" i="2"/>
  <c r="K19" i="2"/>
  <c r="J19" i="2"/>
  <c r="J18" i="2"/>
  <c r="M18" i="2" s="1"/>
  <c r="M17" i="2"/>
  <c r="J17" i="2"/>
  <c r="K17" i="2" s="1"/>
  <c r="M16" i="2"/>
  <c r="J16" i="2"/>
  <c r="K16" i="2" s="1"/>
  <c r="J15" i="2"/>
  <c r="M15" i="2" s="1"/>
  <c r="J14" i="2"/>
  <c r="J13" i="2"/>
  <c r="M13" i="2" s="1"/>
  <c r="M12" i="2"/>
  <c r="K12" i="2"/>
  <c r="J12" i="2"/>
  <c r="M11" i="2"/>
  <c r="K11" i="2"/>
  <c r="J11" i="2"/>
  <c r="J10" i="2"/>
  <c r="M10" i="2" s="1"/>
  <c r="J9" i="2"/>
  <c r="K9" i="2" s="1"/>
  <c r="M9" i="2" s="1"/>
  <c r="J8" i="2"/>
  <c r="K8" i="2" s="1"/>
  <c r="M8" i="2" s="1"/>
  <c r="J7" i="2"/>
  <c r="J6" i="2"/>
  <c r="J24" i="2" s="1"/>
  <c r="K6" i="2" l="1"/>
  <c r="K14" i="2"/>
  <c r="M14" i="2" s="1"/>
  <c r="M6" i="2"/>
  <c r="K15" i="2"/>
  <c r="K18" i="2"/>
  <c r="K7" i="2"/>
  <c r="M7" i="2" s="1"/>
  <c r="K10" i="2"/>
  <c r="K13" i="2"/>
  <c r="H22" i="1"/>
  <c r="I21" i="1"/>
  <c r="M24" i="2" l="1"/>
  <c r="K24" i="2"/>
</calcChain>
</file>

<file path=xl/sharedStrings.xml><?xml version="1.0" encoding="utf-8"?>
<sst xmlns="http://schemas.openxmlformats.org/spreadsheetml/2006/main" count="83" uniqueCount="82">
  <si>
    <t>AllClaims Insurance Brokers</t>
  </si>
  <si>
    <t>Policy Information</t>
  </si>
  <si>
    <t>Customer
ID</t>
  </si>
  <si>
    <t>Policy ID</t>
  </si>
  <si>
    <t>No. of
Autos</t>
  </si>
  <si>
    <t>All Perils
Deductible</t>
  </si>
  <si>
    <t>Liability
Limit</t>
  </si>
  <si>
    <t>No. of
Drivers</t>
  </si>
  <si>
    <t>Rating</t>
  </si>
  <si>
    <t>Claims</t>
  </si>
  <si>
    <t>C-025</t>
  </si>
  <si>
    <t>C-055</t>
  </si>
  <si>
    <t>C-072</t>
  </si>
  <si>
    <t>C-085</t>
  </si>
  <si>
    <t>C-094</t>
  </si>
  <si>
    <t>C-114</t>
  </si>
  <si>
    <t>C-124</t>
  </si>
  <si>
    <t>C-131</t>
  </si>
  <si>
    <t>C-148</t>
  </si>
  <si>
    <t>C-155</t>
  </si>
  <si>
    <t>C-168</t>
  </si>
  <si>
    <t>C-171</t>
  </si>
  <si>
    <t>C-184</t>
  </si>
  <si>
    <t>C-190</t>
  </si>
  <si>
    <t>C-199</t>
  </si>
  <si>
    <t>C-201</t>
  </si>
  <si>
    <t>C-212</t>
  </si>
  <si>
    <t>Average Number of Claims:</t>
  </si>
  <si>
    <t>Premium</t>
  </si>
  <si>
    <t>Total Policy Premiums:</t>
  </si>
  <si>
    <r>
      <t>V</t>
    </r>
    <r>
      <rPr>
        <b/>
        <sz val="10"/>
        <color theme="7" tint="-0.499984740745262"/>
        <rFont val="Cambria"/>
        <family val="1"/>
        <scheme val="major"/>
      </rPr>
      <t>iew</t>
    </r>
    <r>
      <rPr>
        <b/>
        <sz val="16"/>
        <color theme="7" tint="-0.499984740745262"/>
        <rFont val="Cambria"/>
        <family val="2"/>
        <scheme val="major"/>
      </rPr>
      <t>I</t>
    </r>
    <r>
      <rPr>
        <b/>
        <sz val="10"/>
        <color theme="7" tint="-0.499984740745262"/>
        <rFont val="Cambria"/>
        <family val="1"/>
        <scheme val="major"/>
      </rPr>
      <t>t</t>
    </r>
    <r>
      <rPr>
        <b/>
        <sz val="16"/>
        <color theme="7" tint="-0.499984740745262"/>
        <rFont val="Cambria"/>
        <family val="2"/>
        <scheme val="major"/>
      </rPr>
      <t>V</t>
    </r>
    <r>
      <rPr>
        <b/>
        <sz val="10"/>
        <color theme="7" tint="-0.499984740745262"/>
        <rFont val="Cambria"/>
        <family val="1"/>
        <scheme val="major"/>
      </rPr>
      <t>ideo</t>
    </r>
  </si>
  <si>
    <t>Payroll</t>
  </si>
  <si>
    <t>First Name</t>
  </si>
  <si>
    <t>Last Name</t>
  </si>
  <si>
    <t>Sun</t>
  </si>
  <si>
    <t>Mon</t>
  </si>
  <si>
    <t>Tue</t>
  </si>
  <si>
    <t>Wed</t>
  </si>
  <si>
    <t>Thu</t>
  </si>
  <si>
    <t>Fri</t>
  </si>
  <si>
    <t>Sat</t>
  </si>
  <si>
    <t>Total Hours</t>
  </si>
  <si>
    <t>Overtime Hours</t>
  </si>
  <si>
    <t>Pay 
Rate</t>
  </si>
  <si>
    <t>Gross
 Pay</t>
  </si>
  <si>
    <t>Alexis</t>
  </si>
  <si>
    <t>Torres</t>
  </si>
  <si>
    <t>Derrick</t>
  </si>
  <si>
    <t>MacLean</t>
  </si>
  <si>
    <t>Priya</t>
  </si>
  <si>
    <t>Singh</t>
  </si>
  <si>
    <t>Emil</t>
  </si>
  <si>
    <t>Fedorov</t>
  </si>
  <si>
    <t>Leslie</t>
  </si>
  <si>
    <t>Sparling</t>
  </si>
  <si>
    <t>Irene</t>
  </si>
  <si>
    <t>O'Rourke</t>
  </si>
  <si>
    <t>Ruthann</t>
  </si>
  <si>
    <t>Goldstein</t>
  </si>
  <si>
    <t>Stefan</t>
  </si>
  <si>
    <t>Kominek</t>
  </si>
  <si>
    <t>Alex</t>
  </si>
  <si>
    <t>Spivak</t>
  </si>
  <si>
    <t>Erica</t>
  </si>
  <si>
    <t>Wilkins</t>
  </si>
  <si>
    <t>Dana</t>
  </si>
  <si>
    <t>Vanderhoek</t>
  </si>
  <si>
    <t>Ashley</t>
  </si>
  <si>
    <t>Castillo</t>
  </si>
  <si>
    <t>Susan</t>
  </si>
  <si>
    <t>Anez</t>
  </si>
  <si>
    <t>Ivanowski</t>
  </si>
  <si>
    <t>Maria</t>
  </si>
  <si>
    <t>Alvarez</t>
  </si>
  <si>
    <t>Xue</t>
  </si>
  <si>
    <t>Chen</t>
  </si>
  <si>
    <t>Annette</t>
  </si>
  <si>
    <t>Fournier</t>
  </si>
  <si>
    <t>Randy</t>
  </si>
  <si>
    <t>Brown</t>
  </si>
  <si>
    <t>TOTAL</t>
  </si>
  <si>
    <t>Week Ended: October 24,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</si>
</sst>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3" tint="-0.249977111117893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6"/>
      <color theme="7" tint="-0.499984740745262"/>
      <name val="Cambria"/>
      <family val="2"/>
      <scheme val="major"/>
    </font>
    <font>
      <b/>
      <sz val="10"/>
      <color theme="7" tint="-0.499984740745262"/>
      <name val="Cambria"/>
      <family val="1"/>
      <scheme val="major"/>
    </font>
    <font>
      <b/>
      <sz val="12"/>
      <color theme="7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2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25">
    <xf numFmtId="0" fontId="0" fillId="0" borderId="0" xfId="0"/>
    <xf numFmtId="44" fontId="3" fillId="0" borderId="3" xfId="2" applyFont="1" applyBorder="1"/>
    <xf numFmtId="0" fontId="5" fillId="2" borderId="2" xfId="4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164" fontId="0" fillId="0" borderId="2" xfId="1" applyNumberFormat="1" applyFont="1" applyBorder="1"/>
    <xf numFmtId="43" fontId="0" fillId="0" borderId="2" xfId="1" applyFont="1" applyBorder="1"/>
    <xf numFmtId="165" fontId="3" fillId="0" borderId="4" xfId="0" applyNumberFormat="1" applyFont="1" applyBorder="1"/>
    <xf numFmtId="0" fontId="11" fillId="4" borderId="0" xfId="0" applyFont="1" applyFill="1" applyAlignment="1">
      <alignment horizontal="center" vertical="center"/>
    </xf>
    <xf numFmtId="0" fontId="7" fillId="5" borderId="0" xfId="0" applyFont="1" applyFill="1" applyBorder="1" applyAlignment="1">
      <alignment wrapText="1"/>
    </xf>
    <xf numFmtId="0" fontId="7" fillId="5" borderId="0" xfId="0" applyFont="1" applyFill="1" applyBorder="1" applyAlignment="1">
      <alignment horizontal="center" wrapText="1"/>
    </xf>
    <xf numFmtId="166" fontId="0" fillId="0" borderId="0" xfId="1" applyNumberFormat="1" applyFont="1"/>
    <xf numFmtId="43" fontId="0" fillId="0" borderId="0" xfId="1" applyFont="1"/>
    <xf numFmtId="0" fontId="6" fillId="5" borderId="0" xfId="0" applyFont="1" applyFill="1"/>
    <xf numFmtId="0" fontId="7" fillId="5" borderId="0" xfId="0" applyFont="1" applyFill="1"/>
    <xf numFmtId="166" fontId="7" fillId="5" borderId="0" xfId="0" applyNumberFormat="1" applyFont="1" applyFill="1" applyBorder="1"/>
    <xf numFmtId="43" fontId="7" fillId="5" borderId="0" xfId="0" applyNumberFormat="1" applyFont="1" applyFill="1" applyBorder="1"/>
    <xf numFmtId="0" fontId="4" fillId="3" borderId="5" xfId="4" applyFont="1" applyFill="1" applyBorder="1" applyAlignment="1">
      <alignment horizontal="center" vertical="center"/>
    </xf>
    <xf numFmtId="0" fontId="4" fillId="3" borderId="6" xfId="4" applyFont="1" applyFill="1" applyBorder="1" applyAlignment="1">
      <alignment horizontal="center" vertical="center"/>
    </xf>
    <xf numFmtId="0" fontId="4" fillId="3" borderId="7" xfId="4" applyFont="1" applyFill="1" applyBorder="1" applyAlignment="1">
      <alignment horizontal="center" vertical="center"/>
    </xf>
    <xf numFmtId="0" fontId="4" fillId="3" borderId="8" xfId="3" applyFont="1" applyFill="1" applyBorder="1" applyAlignment="1">
      <alignment horizontal="center"/>
    </xf>
    <xf numFmtId="0" fontId="4" fillId="3" borderId="9" xfId="3" applyFont="1" applyFill="1" applyBorder="1" applyAlignment="1">
      <alignment horizontal="center"/>
    </xf>
    <xf numFmtId="0" fontId="4" fillId="3" borderId="10" xfId="3" applyFont="1" applyFill="1" applyBorder="1" applyAlignment="1">
      <alignment horizontal="center"/>
    </xf>
    <xf numFmtId="0" fontId="5" fillId="3" borderId="2" xfId="0" applyFont="1" applyFill="1" applyBorder="1" applyAlignment="1">
      <alignment horizontal="right"/>
    </xf>
    <xf numFmtId="0" fontId="9" fillId="4" borderId="0" xfId="5" applyFont="1" applyFill="1" applyAlignment="1">
      <alignment horizontal="center"/>
    </xf>
    <xf numFmtId="0" fontId="11" fillId="4" borderId="0" xfId="0" applyFont="1" applyFill="1" applyAlignment="1">
      <alignment horizontal="center" vertical="center"/>
    </xf>
  </cellXfs>
  <cellStyles count="6">
    <cellStyle name="Comma" xfId="1" builtinId="3"/>
    <cellStyle name="Currency" xfId="2" builtinId="4"/>
    <cellStyle name="Heading 3" xfId="3" builtinId="18"/>
    <cellStyle name="Heading 4" xfId="4" builtinId="19"/>
    <cellStyle name="Normal" xfId="0" builtinId="0"/>
    <cellStyle name="Title 2" xfId="5" xr:uid="{BE092AC3-DE4A-4B08-B861-9E56EF1DC7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566658</xdr:colOff>
      <xdr:row>0</xdr:row>
      <xdr:rowOff>41077</xdr:rowOff>
    </xdr:from>
    <xdr:to>
      <xdr:col>2</xdr:col>
      <xdr:colOff>103069</xdr:colOff>
      <xdr:row>4</xdr:row>
      <xdr:rowOff>111842</xdr:rowOff>
    </xdr:to>
    <xdr:pic>
      <xdr:nvPicPr>
        <xdr:cNvPr id="2" name="Picture 1" descr="C:\Documents and Settings\Owner\Local Settings\Temporary Internet Files\Content.IE5\0PTDSOZE\MC900195250[1].wmf">
          <a:extLst>
            <a:ext uri="{FF2B5EF4-FFF2-40B4-BE49-F238E27FC236}">
              <a16:creationId xmlns:a16="http://schemas.microsoft.com/office/drawing/2014/main" id="{D1778468-7E5B-42E7-8422-E389B102D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accent4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315371">
          <a:off x="566658" y="41077"/>
          <a:ext cx="1075651" cy="9242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C23" sqref="C23"/>
    </sheetView>
  </sheetViews>
  <sheetFormatPr defaultRowHeight="14.4" x14ac:dyDescent="0.3"/>
  <cols>
    <col min="1" max="1" width="10.88671875" customWidth="1"/>
    <col min="4" max="4" width="10.6640625" bestFit="1" customWidth="1"/>
    <col min="5" max="5" width="10.5546875" bestFit="1" customWidth="1"/>
    <col min="9" max="9" width="12.5546875" bestFit="1" customWidth="1"/>
  </cols>
  <sheetData>
    <row r="1" spans="1:9" ht="18" x14ac:dyDescent="0.3">
      <c r="A1" s="16" t="s">
        <v>0</v>
      </c>
      <c r="B1" s="17"/>
      <c r="C1" s="17"/>
      <c r="D1" s="17"/>
      <c r="E1" s="17"/>
      <c r="F1" s="17"/>
      <c r="G1" s="17"/>
      <c r="H1" s="17"/>
      <c r="I1" s="18"/>
    </row>
    <row r="2" spans="1:9" ht="18" x14ac:dyDescent="0.35">
      <c r="A2" s="19" t="s">
        <v>1</v>
      </c>
      <c r="B2" s="20"/>
      <c r="C2" s="20"/>
      <c r="D2" s="20"/>
      <c r="E2" s="20"/>
      <c r="F2" s="20"/>
      <c r="G2" s="20"/>
      <c r="H2" s="20"/>
      <c r="I2" s="21"/>
    </row>
    <row r="3" spans="1:9" ht="28.8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28</v>
      </c>
    </row>
    <row r="4" spans="1:9" x14ac:dyDescent="0.3">
      <c r="A4" s="3" t="s">
        <v>10</v>
      </c>
      <c r="B4" s="3">
        <v>6512485</v>
      </c>
      <c r="C4" s="3">
        <v>2</v>
      </c>
      <c r="D4" s="4">
        <v>500</v>
      </c>
      <c r="E4" s="4">
        <v>500000</v>
      </c>
      <c r="F4" s="3">
        <v>3</v>
      </c>
      <c r="G4" s="3">
        <v>1</v>
      </c>
      <c r="H4" s="3">
        <v>0</v>
      </c>
      <c r="I4" s="5">
        <v>1875</v>
      </c>
    </row>
    <row r="5" spans="1:9" x14ac:dyDescent="0.3">
      <c r="A5" s="3" t="s">
        <v>11</v>
      </c>
      <c r="B5" s="3">
        <v>6123584</v>
      </c>
      <c r="C5" s="3">
        <v>1</v>
      </c>
      <c r="D5" s="4">
        <v>250</v>
      </c>
      <c r="E5" s="4">
        <v>500000</v>
      </c>
      <c r="F5" s="3">
        <v>2</v>
      </c>
      <c r="G5" s="3">
        <v>1</v>
      </c>
      <c r="H5" s="3">
        <v>0</v>
      </c>
      <c r="I5" s="5">
        <v>995</v>
      </c>
    </row>
    <row r="6" spans="1:9" x14ac:dyDescent="0.3">
      <c r="A6" s="3" t="s">
        <v>12</v>
      </c>
      <c r="B6" s="3">
        <v>6583157</v>
      </c>
      <c r="C6" s="3">
        <v>2</v>
      </c>
      <c r="D6" s="4">
        <v>775</v>
      </c>
      <c r="E6" s="4">
        <v>1000000</v>
      </c>
      <c r="F6" s="3">
        <v>2</v>
      </c>
      <c r="G6" s="3">
        <v>2</v>
      </c>
      <c r="H6" s="3">
        <v>1</v>
      </c>
      <c r="I6" s="5">
        <v>1575</v>
      </c>
    </row>
    <row r="7" spans="1:9" x14ac:dyDescent="0.3">
      <c r="A7" s="3" t="s">
        <v>13</v>
      </c>
      <c r="B7" s="3">
        <v>6124893</v>
      </c>
      <c r="C7" s="3">
        <v>3</v>
      </c>
      <c r="D7" s="4">
        <v>1000</v>
      </c>
      <c r="E7" s="4">
        <v>500000</v>
      </c>
      <c r="F7" s="3">
        <v>4</v>
      </c>
      <c r="G7" s="3">
        <v>2</v>
      </c>
      <c r="H7" s="3">
        <v>1</v>
      </c>
      <c r="I7" s="5">
        <v>2250</v>
      </c>
    </row>
    <row r="8" spans="1:9" x14ac:dyDescent="0.3">
      <c r="A8" s="3" t="s">
        <v>14</v>
      </c>
      <c r="B8" s="3">
        <v>3481274</v>
      </c>
      <c r="C8" s="3">
        <v>1</v>
      </c>
      <c r="D8" s="4">
        <v>500</v>
      </c>
      <c r="E8" s="4">
        <v>2000000</v>
      </c>
      <c r="F8" s="3">
        <v>1</v>
      </c>
      <c r="G8" s="3">
        <v>5</v>
      </c>
      <c r="H8" s="3">
        <v>3</v>
      </c>
      <c r="I8" s="5">
        <v>2150</v>
      </c>
    </row>
    <row r="9" spans="1:9" x14ac:dyDescent="0.3">
      <c r="A9" s="3" t="s">
        <v>15</v>
      </c>
      <c r="B9" s="3">
        <v>4956875</v>
      </c>
      <c r="C9" s="3">
        <v>2</v>
      </c>
      <c r="D9" s="4">
        <v>250</v>
      </c>
      <c r="E9" s="4">
        <v>750000</v>
      </c>
      <c r="F9" s="3">
        <v>2</v>
      </c>
      <c r="G9" s="3">
        <v>4</v>
      </c>
      <c r="H9" s="3">
        <v>2</v>
      </c>
      <c r="I9" s="5">
        <v>2345</v>
      </c>
    </row>
    <row r="10" spans="1:9" x14ac:dyDescent="0.3">
      <c r="A10" s="3" t="s">
        <v>16</v>
      </c>
      <c r="B10" s="3">
        <v>3354867</v>
      </c>
      <c r="C10" s="3">
        <v>1</v>
      </c>
      <c r="D10" s="4">
        <v>250</v>
      </c>
      <c r="E10" s="4">
        <v>1000000</v>
      </c>
      <c r="F10" s="3">
        <v>2</v>
      </c>
      <c r="G10" s="3">
        <v>2</v>
      </c>
      <c r="H10" s="3">
        <v>1</v>
      </c>
      <c r="I10" s="5">
        <v>1168</v>
      </c>
    </row>
    <row r="11" spans="1:9" x14ac:dyDescent="0.3">
      <c r="A11" s="3" t="s">
        <v>17</v>
      </c>
      <c r="B11" s="3">
        <v>6598642</v>
      </c>
      <c r="C11" s="3">
        <v>3</v>
      </c>
      <c r="D11" s="4">
        <v>775</v>
      </c>
      <c r="E11" s="4">
        <v>500000</v>
      </c>
      <c r="F11" s="3">
        <v>4</v>
      </c>
      <c r="G11" s="3">
        <v>5</v>
      </c>
      <c r="H11" s="3">
        <v>2</v>
      </c>
      <c r="I11" s="5">
        <v>3247</v>
      </c>
    </row>
    <row r="12" spans="1:9" x14ac:dyDescent="0.3">
      <c r="A12" s="3" t="s">
        <v>18</v>
      </c>
      <c r="B12" s="3">
        <v>4668457</v>
      </c>
      <c r="C12" s="3">
        <v>3</v>
      </c>
      <c r="D12" s="4">
        <v>1000</v>
      </c>
      <c r="E12" s="4">
        <v>1000000</v>
      </c>
      <c r="F12" s="3">
        <v>3</v>
      </c>
      <c r="G12" s="3">
        <v>5</v>
      </c>
      <c r="H12" s="3">
        <v>2</v>
      </c>
      <c r="I12" s="5">
        <v>2948</v>
      </c>
    </row>
    <row r="13" spans="1:9" x14ac:dyDescent="0.3">
      <c r="A13" s="3" t="s">
        <v>19</v>
      </c>
      <c r="B13" s="3">
        <v>8512475</v>
      </c>
      <c r="C13" s="3">
        <v>4</v>
      </c>
      <c r="D13" s="4">
        <v>500</v>
      </c>
      <c r="E13" s="4">
        <v>2000000</v>
      </c>
      <c r="F13" s="3">
        <v>6</v>
      </c>
      <c r="G13" s="3">
        <v>8</v>
      </c>
      <c r="H13" s="3">
        <v>4</v>
      </c>
      <c r="I13" s="5">
        <v>4177</v>
      </c>
    </row>
    <row r="14" spans="1:9" x14ac:dyDescent="0.3">
      <c r="A14" s="3" t="s">
        <v>20</v>
      </c>
      <c r="B14" s="3">
        <v>6984563</v>
      </c>
      <c r="C14" s="3">
        <v>2</v>
      </c>
      <c r="D14" s="4">
        <v>250</v>
      </c>
      <c r="E14" s="4">
        <v>675000</v>
      </c>
      <c r="F14" s="3">
        <v>2</v>
      </c>
      <c r="G14" s="3">
        <v>5</v>
      </c>
      <c r="H14" s="3">
        <v>3</v>
      </c>
      <c r="I14" s="5">
        <v>2110</v>
      </c>
    </row>
    <row r="15" spans="1:9" x14ac:dyDescent="0.3">
      <c r="A15" s="3" t="s">
        <v>21</v>
      </c>
      <c r="B15" s="3">
        <v>4856972</v>
      </c>
      <c r="C15" s="3">
        <v>1</v>
      </c>
      <c r="D15" s="4">
        <v>500</v>
      </c>
      <c r="E15" s="4">
        <v>500000</v>
      </c>
      <c r="F15" s="3">
        <v>2</v>
      </c>
      <c r="G15" s="3">
        <v>6</v>
      </c>
      <c r="H15" s="3">
        <v>3</v>
      </c>
      <c r="I15" s="5">
        <v>1845</v>
      </c>
    </row>
    <row r="16" spans="1:9" x14ac:dyDescent="0.3">
      <c r="A16" s="3" t="s">
        <v>22</v>
      </c>
      <c r="B16" s="3">
        <v>5124876</v>
      </c>
      <c r="C16" s="3">
        <v>1</v>
      </c>
      <c r="D16" s="4">
        <v>500</v>
      </c>
      <c r="E16" s="4">
        <v>500000</v>
      </c>
      <c r="F16" s="3">
        <v>2</v>
      </c>
      <c r="G16" s="3">
        <v>1</v>
      </c>
      <c r="H16" s="3">
        <v>0</v>
      </c>
      <c r="I16" s="5">
        <v>995</v>
      </c>
    </row>
    <row r="17" spans="1:9" x14ac:dyDescent="0.3">
      <c r="A17" s="3" t="s">
        <v>23</v>
      </c>
      <c r="B17" s="3">
        <v>6845962</v>
      </c>
      <c r="C17" s="3">
        <v>1</v>
      </c>
      <c r="D17" s="4">
        <v>775</v>
      </c>
      <c r="E17" s="4">
        <v>900000</v>
      </c>
      <c r="F17" s="3">
        <v>1</v>
      </c>
      <c r="G17" s="3">
        <v>3</v>
      </c>
      <c r="H17" s="3">
        <v>2</v>
      </c>
      <c r="I17" s="5">
        <v>1550</v>
      </c>
    </row>
    <row r="18" spans="1:9" x14ac:dyDescent="0.3">
      <c r="A18" s="3" t="s">
        <v>24</v>
      </c>
      <c r="B18" s="3">
        <v>8457326</v>
      </c>
      <c r="C18" s="3">
        <v>1</v>
      </c>
      <c r="D18" s="4">
        <v>1000</v>
      </c>
      <c r="E18" s="4">
        <v>2000000</v>
      </c>
      <c r="F18" s="3">
        <v>1</v>
      </c>
      <c r="G18" s="3">
        <v>5</v>
      </c>
      <c r="H18" s="3">
        <v>3</v>
      </c>
      <c r="I18" s="5">
        <v>2150</v>
      </c>
    </row>
    <row r="19" spans="1:9" x14ac:dyDescent="0.3">
      <c r="A19" s="3" t="s">
        <v>25</v>
      </c>
      <c r="B19" s="3">
        <v>4968532</v>
      </c>
      <c r="C19" s="3">
        <v>2</v>
      </c>
      <c r="D19" s="4">
        <v>500</v>
      </c>
      <c r="E19" s="4">
        <v>500000</v>
      </c>
      <c r="F19" s="3">
        <v>3</v>
      </c>
      <c r="G19" s="3">
        <v>2</v>
      </c>
      <c r="H19" s="3">
        <v>1</v>
      </c>
      <c r="I19" s="5">
        <v>2025</v>
      </c>
    </row>
    <row r="20" spans="1:9" x14ac:dyDescent="0.3">
      <c r="A20" s="3" t="s">
        <v>26</v>
      </c>
      <c r="B20" s="3">
        <v>2698715</v>
      </c>
      <c r="C20" s="3">
        <v>2</v>
      </c>
      <c r="D20" s="4">
        <v>500</v>
      </c>
      <c r="E20" s="4">
        <v>500000</v>
      </c>
      <c r="F20" s="3">
        <v>2</v>
      </c>
      <c r="G20" s="3">
        <v>1</v>
      </c>
      <c r="H20" s="3">
        <v>0</v>
      </c>
      <c r="I20" s="5">
        <v>1140</v>
      </c>
    </row>
    <row r="21" spans="1:9" x14ac:dyDescent="0.3">
      <c r="E21" s="22" t="s">
        <v>29</v>
      </c>
      <c r="F21" s="22"/>
      <c r="G21" s="22"/>
      <c r="I21" s="1">
        <f>SUM(I4:I20)</f>
        <v>34545</v>
      </c>
    </row>
    <row r="22" spans="1:9" x14ac:dyDescent="0.3">
      <c r="E22" s="22" t="s">
        <v>27</v>
      </c>
      <c r="F22" s="22"/>
      <c r="G22" s="22"/>
      <c r="H22" s="6">
        <f>AVERAGE(H4:H20)</f>
        <v>1.6470588235294117</v>
      </c>
    </row>
  </sheetData>
  <mergeCells count="4">
    <mergeCell ref="A1:I1"/>
    <mergeCell ref="A2:I2"/>
    <mergeCell ref="E22:G22"/>
    <mergeCell ref="E21:G21"/>
  </mergeCells>
  <printOptions horizontalCentered="1"/>
  <pageMargins left="0.6" right="0.6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2739D-8939-4A58-B5B8-080B3CAB54D5}">
  <dimension ref="A1:M24"/>
  <sheetViews>
    <sheetView zoomScale="120" zoomScaleNormal="120" workbookViewId="0">
      <selection activeCell="A4" sqref="A4"/>
    </sheetView>
  </sheetViews>
  <sheetFormatPr defaultRowHeight="14.4" x14ac:dyDescent="0.3"/>
  <cols>
    <col min="1" max="1" width="10.5546875" bestFit="1" customWidth="1"/>
    <col min="2" max="2" width="11.88671875" bestFit="1" customWidth="1"/>
    <col min="3" max="9" width="8.33203125" customWidth="1"/>
    <col min="13" max="13" width="9.5546875" bestFit="1" customWidth="1"/>
  </cols>
  <sheetData>
    <row r="1" spans="1:13" ht="20.399999999999999" x14ac:dyDescent="0.35">
      <c r="A1" s="23" t="s">
        <v>30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5.6" x14ac:dyDescent="0.3">
      <c r="A2" s="24" t="s">
        <v>31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5.6" x14ac:dyDescent="0.3">
      <c r="A3" s="24" t="s">
        <v>81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3" ht="15.6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28.8" x14ac:dyDescent="0.3">
      <c r="A5" s="8" t="s">
        <v>32</v>
      </c>
      <c r="B5" s="8" t="s">
        <v>33</v>
      </c>
      <c r="C5" s="9" t="s">
        <v>34</v>
      </c>
      <c r="D5" s="9" t="s">
        <v>35</v>
      </c>
      <c r="E5" s="9" t="s">
        <v>36</v>
      </c>
      <c r="F5" s="9" t="s">
        <v>37</v>
      </c>
      <c r="G5" s="9" t="s">
        <v>38</v>
      </c>
      <c r="H5" s="9" t="s">
        <v>39</v>
      </c>
      <c r="I5" s="9" t="s">
        <v>40</v>
      </c>
      <c r="J5" s="9" t="s">
        <v>41</v>
      </c>
      <c r="K5" s="9" t="s">
        <v>42</v>
      </c>
      <c r="L5" s="9" t="s">
        <v>43</v>
      </c>
      <c r="M5" s="9" t="s">
        <v>44</v>
      </c>
    </row>
    <row r="6" spans="1:13" x14ac:dyDescent="0.3">
      <c r="A6" t="s">
        <v>45</v>
      </c>
      <c r="B6" t="s">
        <v>46</v>
      </c>
      <c r="C6" s="10">
        <v>0</v>
      </c>
      <c r="D6" s="10">
        <v>5</v>
      </c>
      <c r="E6" s="10">
        <v>7</v>
      </c>
      <c r="F6" s="10">
        <v>8</v>
      </c>
      <c r="G6" s="10">
        <v>8</v>
      </c>
      <c r="H6" s="10">
        <v>9</v>
      </c>
      <c r="I6" s="10">
        <v>9.5</v>
      </c>
      <c r="J6" s="10">
        <f>SUM(C6:I6)</f>
        <v>46.5</v>
      </c>
      <c r="K6" s="10">
        <f>IF(J6-40&gt;0,J6-40,0)</f>
        <v>6.5</v>
      </c>
      <c r="L6">
        <v>7.75</v>
      </c>
      <c r="M6" s="11">
        <f>IF(J6-40&gt;0,(40*L6)+(K6*L6*1.5),J6*L6)</f>
        <v>385.5625</v>
      </c>
    </row>
    <row r="7" spans="1:13" x14ac:dyDescent="0.3">
      <c r="A7" t="s">
        <v>47</v>
      </c>
      <c r="B7" t="s">
        <v>48</v>
      </c>
      <c r="C7" s="10">
        <v>8</v>
      </c>
      <c r="D7" s="10">
        <v>0</v>
      </c>
      <c r="E7" s="10">
        <v>6.5</v>
      </c>
      <c r="F7" s="10">
        <v>8</v>
      </c>
      <c r="G7" s="10">
        <v>8</v>
      </c>
      <c r="H7" s="10">
        <v>8.5</v>
      </c>
      <c r="I7" s="10">
        <v>9</v>
      </c>
      <c r="J7" s="10">
        <f t="shared" ref="J7:J23" si="0">SUM(C7:I7)</f>
        <v>48</v>
      </c>
      <c r="K7" s="10">
        <f t="shared" ref="K7:K23" si="1">IF(J7-40&gt;0,J7-40,0)</f>
        <v>8</v>
      </c>
      <c r="L7">
        <v>7.35</v>
      </c>
      <c r="M7" s="11">
        <f t="shared" ref="M7:M23" si="2">IF(J7-40&gt;0,(40*L7)+(K7*L7*1.5),J7*L7)</f>
        <v>382.2</v>
      </c>
    </row>
    <row r="8" spans="1:13" x14ac:dyDescent="0.3">
      <c r="A8" t="s">
        <v>49</v>
      </c>
      <c r="B8" t="s">
        <v>50</v>
      </c>
      <c r="C8" s="10">
        <v>8</v>
      </c>
      <c r="D8" s="10">
        <v>0</v>
      </c>
      <c r="E8" s="10">
        <v>4</v>
      </c>
      <c r="F8" s="10">
        <v>8</v>
      </c>
      <c r="G8" s="10">
        <v>8</v>
      </c>
      <c r="H8" s="10">
        <v>8.5</v>
      </c>
      <c r="I8" s="10">
        <v>6.5</v>
      </c>
      <c r="J8" s="10">
        <f t="shared" si="0"/>
        <v>43</v>
      </c>
      <c r="K8" s="10">
        <f t="shared" si="1"/>
        <v>3</v>
      </c>
      <c r="L8">
        <v>7.35</v>
      </c>
      <c r="M8" s="11">
        <f t="shared" si="2"/>
        <v>327.07499999999999</v>
      </c>
    </row>
    <row r="9" spans="1:13" x14ac:dyDescent="0.3">
      <c r="A9" t="s">
        <v>51</v>
      </c>
      <c r="B9" t="s">
        <v>52</v>
      </c>
      <c r="C9" s="10">
        <v>8</v>
      </c>
      <c r="D9" s="10">
        <v>8</v>
      </c>
      <c r="E9" s="10">
        <v>8</v>
      </c>
      <c r="F9" s="10">
        <v>5.5</v>
      </c>
      <c r="G9" s="10">
        <v>8</v>
      </c>
      <c r="H9" s="10">
        <v>0</v>
      </c>
      <c r="I9" s="10">
        <v>8</v>
      </c>
      <c r="J9" s="10">
        <f t="shared" si="0"/>
        <v>45.5</v>
      </c>
      <c r="K9" s="10">
        <f t="shared" si="1"/>
        <v>5.5</v>
      </c>
      <c r="L9">
        <v>7.75</v>
      </c>
      <c r="M9" s="11">
        <f t="shared" si="2"/>
        <v>373.9375</v>
      </c>
    </row>
    <row r="10" spans="1:13" x14ac:dyDescent="0.3">
      <c r="A10" t="s">
        <v>53</v>
      </c>
      <c r="B10" t="s">
        <v>54</v>
      </c>
      <c r="C10" s="10">
        <v>0</v>
      </c>
      <c r="D10" s="10">
        <v>6</v>
      </c>
      <c r="E10" s="10">
        <v>7.5</v>
      </c>
      <c r="F10" s="10">
        <v>8</v>
      </c>
      <c r="G10" s="10">
        <v>8</v>
      </c>
      <c r="H10" s="10">
        <v>0</v>
      </c>
      <c r="I10" s="10">
        <v>8</v>
      </c>
      <c r="J10" s="10">
        <f t="shared" si="0"/>
        <v>37.5</v>
      </c>
      <c r="K10" s="10">
        <f t="shared" si="1"/>
        <v>0</v>
      </c>
      <c r="L10">
        <v>8.15</v>
      </c>
      <c r="M10" s="11">
        <f t="shared" si="2"/>
        <v>305.625</v>
      </c>
    </row>
    <row r="11" spans="1:13" x14ac:dyDescent="0.3">
      <c r="A11" t="s">
        <v>55</v>
      </c>
      <c r="B11" t="s">
        <v>56</v>
      </c>
      <c r="C11" s="10">
        <v>4</v>
      </c>
      <c r="D11" s="10">
        <v>0</v>
      </c>
      <c r="E11" s="10">
        <v>8</v>
      </c>
      <c r="F11" s="10">
        <v>0</v>
      </c>
      <c r="G11" s="10">
        <v>6.5</v>
      </c>
      <c r="H11" s="10">
        <v>9.5</v>
      </c>
      <c r="I11" s="10">
        <v>7.5</v>
      </c>
      <c r="J11" s="10">
        <f t="shared" si="0"/>
        <v>35.5</v>
      </c>
      <c r="K11" s="10">
        <f t="shared" si="1"/>
        <v>0</v>
      </c>
      <c r="L11">
        <v>8.15</v>
      </c>
      <c r="M11" s="11">
        <f t="shared" si="2"/>
        <v>289.32499999999999</v>
      </c>
    </row>
    <row r="12" spans="1:13" x14ac:dyDescent="0.3">
      <c r="A12" t="s">
        <v>57</v>
      </c>
      <c r="B12" t="s">
        <v>58</v>
      </c>
      <c r="C12" s="10">
        <v>5.5</v>
      </c>
      <c r="D12" s="10">
        <v>0</v>
      </c>
      <c r="E12" s="10">
        <v>8</v>
      </c>
      <c r="F12" s="10">
        <v>0</v>
      </c>
      <c r="G12" s="10">
        <v>4</v>
      </c>
      <c r="H12" s="10">
        <v>7.5</v>
      </c>
      <c r="I12" s="10">
        <v>6</v>
      </c>
      <c r="J12" s="10">
        <f t="shared" si="0"/>
        <v>31</v>
      </c>
      <c r="K12" s="10">
        <f t="shared" si="1"/>
        <v>0</v>
      </c>
      <c r="L12">
        <v>7.75</v>
      </c>
      <c r="M12" s="11">
        <f t="shared" si="2"/>
        <v>240.25</v>
      </c>
    </row>
    <row r="13" spans="1:13" x14ac:dyDescent="0.3">
      <c r="A13" t="s">
        <v>59</v>
      </c>
      <c r="B13" t="s">
        <v>60</v>
      </c>
      <c r="C13" s="10">
        <v>0</v>
      </c>
      <c r="D13" s="10">
        <v>6</v>
      </c>
      <c r="E13" s="10">
        <v>8</v>
      </c>
      <c r="F13" s="10">
        <v>0</v>
      </c>
      <c r="G13" s="10">
        <v>8</v>
      </c>
      <c r="H13" s="10">
        <v>8.5</v>
      </c>
      <c r="I13" s="10">
        <v>4.5</v>
      </c>
      <c r="J13" s="10">
        <f t="shared" si="0"/>
        <v>35</v>
      </c>
      <c r="K13" s="10">
        <f t="shared" si="1"/>
        <v>0</v>
      </c>
      <c r="L13">
        <v>7.75</v>
      </c>
      <c r="M13" s="11">
        <f t="shared" si="2"/>
        <v>271.25</v>
      </c>
    </row>
    <row r="14" spans="1:13" x14ac:dyDescent="0.3">
      <c r="A14" t="s">
        <v>61</v>
      </c>
      <c r="B14" t="s">
        <v>62</v>
      </c>
      <c r="C14" s="10">
        <v>0</v>
      </c>
      <c r="D14" s="10">
        <v>5</v>
      </c>
      <c r="E14" s="10">
        <v>8</v>
      </c>
      <c r="F14" s="10">
        <v>8.5</v>
      </c>
      <c r="G14" s="10">
        <v>7.5</v>
      </c>
      <c r="H14" s="10">
        <v>8</v>
      </c>
      <c r="I14" s="10">
        <v>8</v>
      </c>
      <c r="J14" s="10">
        <f t="shared" si="0"/>
        <v>45</v>
      </c>
      <c r="K14" s="10">
        <f t="shared" si="1"/>
        <v>5</v>
      </c>
      <c r="L14">
        <v>7.75</v>
      </c>
      <c r="M14" s="11">
        <f t="shared" si="2"/>
        <v>368.125</v>
      </c>
    </row>
    <row r="15" spans="1:13" x14ac:dyDescent="0.3">
      <c r="A15" t="s">
        <v>63</v>
      </c>
      <c r="B15" t="s">
        <v>64</v>
      </c>
      <c r="C15" s="10">
        <v>0</v>
      </c>
      <c r="D15" s="10">
        <v>7</v>
      </c>
      <c r="E15" s="10">
        <v>0</v>
      </c>
      <c r="F15" s="10">
        <v>6</v>
      </c>
      <c r="G15" s="10">
        <v>0</v>
      </c>
      <c r="H15" s="10">
        <v>6</v>
      </c>
      <c r="I15" s="10">
        <v>6.4</v>
      </c>
      <c r="J15" s="10">
        <f t="shared" si="0"/>
        <v>25.4</v>
      </c>
      <c r="K15" s="10">
        <f t="shared" si="1"/>
        <v>0</v>
      </c>
      <c r="L15">
        <v>7.35</v>
      </c>
      <c r="M15" s="11">
        <f t="shared" si="2"/>
        <v>186.68999999999997</v>
      </c>
    </row>
    <row r="16" spans="1:13" x14ac:dyDescent="0.3">
      <c r="A16" t="s">
        <v>65</v>
      </c>
      <c r="B16" t="s">
        <v>66</v>
      </c>
      <c r="C16" s="10">
        <v>8</v>
      </c>
      <c r="D16" s="10">
        <v>7</v>
      </c>
      <c r="E16" s="10">
        <v>0</v>
      </c>
      <c r="F16" s="10">
        <v>8</v>
      </c>
      <c r="G16" s="10">
        <v>0</v>
      </c>
      <c r="H16" s="10">
        <v>5.5</v>
      </c>
      <c r="I16" s="10">
        <v>5</v>
      </c>
      <c r="J16" s="10">
        <f t="shared" si="0"/>
        <v>33.5</v>
      </c>
      <c r="K16" s="10">
        <f t="shared" si="1"/>
        <v>0</v>
      </c>
      <c r="L16">
        <v>7.35</v>
      </c>
      <c r="M16" s="11">
        <f t="shared" si="2"/>
        <v>246.22499999999999</v>
      </c>
    </row>
    <row r="17" spans="1:13" x14ac:dyDescent="0.3">
      <c r="A17" t="s">
        <v>67</v>
      </c>
      <c r="B17" t="s">
        <v>68</v>
      </c>
      <c r="C17" s="10">
        <v>4</v>
      </c>
      <c r="D17" s="10">
        <v>8</v>
      </c>
      <c r="E17" s="10">
        <v>0</v>
      </c>
      <c r="F17" s="10">
        <v>7.5</v>
      </c>
      <c r="G17" s="10">
        <v>8</v>
      </c>
      <c r="H17" s="10">
        <v>4</v>
      </c>
      <c r="I17" s="10">
        <v>8.5</v>
      </c>
      <c r="J17" s="10">
        <f t="shared" si="0"/>
        <v>40</v>
      </c>
      <c r="K17" s="10">
        <f t="shared" si="1"/>
        <v>0</v>
      </c>
      <c r="L17">
        <v>8.15</v>
      </c>
      <c r="M17" s="11">
        <f t="shared" si="2"/>
        <v>326</v>
      </c>
    </row>
    <row r="18" spans="1:13" x14ac:dyDescent="0.3">
      <c r="A18" t="s">
        <v>69</v>
      </c>
      <c r="B18" t="s">
        <v>70</v>
      </c>
      <c r="C18" s="10">
        <v>0</v>
      </c>
      <c r="D18" s="10">
        <v>3</v>
      </c>
      <c r="E18" s="10">
        <v>5.5</v>
      </c>
      <c r="F18" s="10">
        <v>0</v>
      </c>
      <c r="G18" s="10">
        <v>0</v>
      </c>
      <c r="H18" s="10">
        <v>7</v>
      </c>
      <c r="I18" s="10">
        <v>7</v>
      </c>
      <c r="J18" s="10">
        <f t="shared" si="0"/>
        <v>22.5</v>
      </c>
      <c r="K18" s="10">
        <f t="shared" si="1"/>
        <v>0</v>
      </c>
      <c r="L18">
        <v>8.15</v>
      </c>
      <c r="M18" s="11">
        <f t="shared" si="2"/>
        <v>183.375</v>
      </c>
    </row>
    <row r="19" spans="1:13" x14ac:dyDescent="0.3">
      <c r="A19" t="s">
        <v>65</v>
      </c>
      <c r="B19" t="s">
        <v>71</v>
      </c>
      <c r="C19" s="10">
        <v>4.5</v>
      </c>
      <c r="D19" s="10">
        <v>4</v>
      </c>
      <c r="E19" s="10">
        <v>6</v>
      </c>
      <c r="F19" s="10">
        <v>0</v>
      </c>
      <c r="G19" s="10">
        <v>8.5</v>
      </c>
      <c r="H19" s="10">
        <v>6.8</v>
      </c>
      <c r="I19" s="10">
        <v>0</v>
      </c>
      <c r="J19" s="10">
        <f t="shared" si="0"/>
        <v>29.8</v>
      </c>
      <c r="K19" s="10">
        <f t="shared" si="1"/>
        <v>0</v>
      </c>
      <c r="L19">
        <v>7.75</v>
      </c>
      <c r="M19" s="11">
        <f t="shared" si="2"/>
        <v>230.95000000000002</v>
      </c>
    </row>
    <row r="20" spans="1:13" x14ac:dyDescent="0.3">
      <c r="A20" t="s">
        <v>72</v>
      </c>
      <c r="B20" t="s">
        <v>73</v>
      </c>
      <c r="C20" s="10">
        <v>0</v>
      </c>
      <c r="D20" s="10">
        <v>7</v>
      </c>
      <c r="E20" s="10">
        <v>4.5</v>
      </c>
      <c r="F20" s="10">
        <v>0</v>
      </c>
      <c r="G20" s="10">
        <v>7.5</v>
      </c>
      <c r="H20" s="10">
        <v>7.5</v>
      </c>
      <c r="I20" s="10">
        <v>0</v>
      </c>
      <c r="J20" s="10">
        <f t="shared" si="0"/>
        <v>26.5</v>
      </c>
      <c r="K20" s="10">
        <f t="shared" si="1"/>
        <v>0</v>
      </c>
      <c r="L20">
        <v>7.35</v>
      </c>
      <c r="M20" s="11">
        <f t="shared" si="2"/>
        <v>194.77499999999998</v>
      </c>
    </row>
    <row r="21" spans="1:13" x14ac:dyDescent="0.3">
      <c r="A21" t="s">
        <v>74</v>
      </c>
      <c r="B21" t="s">
        <v>75</v>
      </c>
      <c r="C21" s="10">
        <v>9</v>
      </c>
      <c r="D21" s="10">
        <v>0</v>
      </c>
      <c r="E21" s="10">
        <v>9</v>
      </c>
      <c r="F21" s="10">
        <v>8</v>
      </c>
      <c r="G21" s="10">
        <v>7.5</v>
      </c>
      <c r="H21" s="10">
        <v>8</v>
      </c>
      <c r="I21" s="10">
        <v>0</v>
      </c>
      <c r="J21" s="10">
        <f t="shared" si="0"/>
        <v>41.5</v>
      </c>
      <c r="K21" s="10">
        <f t="shared" si="1"/>
        <v>1.5</v>
      </c>
      <c r="L21">
        <v>7.35</v>
      </c>
      <c r="M21" s="11">
        <f t="shared" si="2"/>
        <v>310.53750000000002</v>
      </c>
    </row>
    <row r="22" spans="1:13" x14ac:dyDescent="0.3">
      <c r="A22" t="s">
        <v>76</v>
      </c>
      <c r="B22" t="s">
        <v>77</v>
      </c>
      <c r="C22" s="10">
        <v>8</v>
      </c>
      <c r="D22" s="10">
        <v>0</v>
      </c>
      <c r="E22" s="10">
        <v>0</v>
      </c>
      <c r="F22" s="10">
        <v>6.5</v>
      </c>
      <c r="G22" s="10">
        <v>5</v>
      </c>
      <c r="H22" s="10">
        <v>7.5</v>
      </c>
      <c r="I22" s="10">
        <v>7</v>
      </c>
      <c r="J22" s="10">
        <f t="shared" si="0"/>
        <v>34</v>
      </c>
      <c r="K22" s="10">
        <f t="shared" si="1"/>
        <v>0</v>
      </c>
      <c r="L22">
        <v>7.35</v>
      </c>
      <c r="M22" s="11">
        <f t="shared" si="2"/>
        <v>249.89999999999998</v>
      </c>
    </row>
    <row r="23" spans="1:13" x14ac:dyDescent="0.3">
      <c r="A23" t="s">
        <v>78</v>
      </c>
      <c r="B23" t="s">
        <v>79</v>
      </c>
      <c r="C23" s="10">
        <v>6.5</v>
      </c>
      <c r="D23" s="10">
        <v>0</v>
      </c>
      <c r="E23" s="10">
        <v>0</v>
      </c>
      <c r="F23" s="10">
        <v>5.5</v>
      </c>
      <c r="G23" s="10">
        <v>4</v>
      </c>
      <c r="H23" s="10">
        <v>6</v>
      </c>
      <c r="I23" s="10">
        <v>4</v>
      </c>
      <c r="J23" s="10">
        <f t="shared" si="0"/>
        <v>26</v>
      </c>
      <c r="K23" s="10">
        <f t="shared" si="1"/>
        <v>0</v>
      </c>
      <c r="L23">
        <v>7.35</v>
      </c>
      <c r="M23" s="11">
        <f t="shared" si="2"/>
        <v>191.1</v>
      </c>
    </row>
    <row r="24" spans="1:13" x14ac:dyDescent="0.3">
      <c r="A24" s="12" t="s">
        <v>80</v>
      </c>
      <c r="B24" s="13"/>
      <c r="C24" s="14">
        <f>SUM(C6:C23)</f>
        <v>73.5</v>
      </c>
      <c r="D24" s="14">
        <f t="shared" ref="D24:M24" si="3">SUM(D6:D23)</f>
        <v>66</v>
      </c>
      <c r="E24" s="14">
        <f t="shared" si="3"/>
        <v>90</v>
      </c>
      <c r="F24" s="14">
        <f t="shared" si="3"/>
        <v>87.5</v>
      </c>
      <c r="G24" s="14">
        <f t="shared" si="3"/>
        <v>106.5</v>
      </c>
      <c r="H24" s="14">
        <f t="shared" si="3"/>
        <v>117.8</v>
      </c>
      <c r="I24" s="14">
        <f t="shared" si="3"/>
        <v>104.9</v>
      </c>
      <c r="J24" s="14">
        <f t="shared" si="3"/>
        <v>646.19999999999993</v>
      </c>
      <c r="K24" s="14">
        <f t="shared" si="3"/>
        <v>29.5</v>
      </c>
      <c r="L24" s="14"/>
      <c r="M24" s="15">
        <f t="shared" si="3"/>
        <v>5062.9025000000001</v>
      </c>
    </row>
  </sheetData>
  <mergeCells count="3">
    <mergeCell ref="A1:M1"/>
    <mergeCell ref="A2:M2"/>
    <mergeCell ref="A3:M3"/>
  </mergeCells>
  <printOptions horizontalCentered="1"/>
  <pageMargins left="0.5" right="0.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Insurance</vt:lpstr>
      <vt:lpstr>Payroll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Name</dc:creator>
  <cp:lastModifiedBy>Connie Lance</cp:lastModifiedBy>
  <cp:lastPrinted>2013-03-20T17:21:38Z</cp:lastPrinted>
  <dcterms:created xsi:type="dcterms:W3CDTF">2010-02-25T01:53:49Z</dcterms:created>
  <dcterms:modified xsi:type="dcterms:W3CDTF">2021-02-13T17:20:52Z</dcterms:modified>
</cp:coreProperties>
</file>