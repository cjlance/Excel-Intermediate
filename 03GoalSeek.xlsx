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13_ncr:1_{B7EF3902-35E3-49CD-A352-3940D11A0281}" xr6:coauthVersionLast="36" xr6:coauthVersionMax="36" xr10:uidLastSave="{00000000-0000-0000-0000-000000000000}"/>
  <bookViews>
    <workbookView xWindow="0" yWindow="0" windowWidth="20400" windowHeight="8256" xr2:uid="{00000000-000D-0000-FFFF-FFFF00000000}"/>
  </bookViews>
  <sheets>
    <sheet name="Cost Summary" sheetId="1" r:id="rId1"/>
    <sheet name="Equipment" sheetId="3" r:id="rId2"/>
  </sheets>
  <externalReferences>
    <externalReference r:id="rId3"/>
    <externalReference r:id="rId4"/>
  </externalReferences>
  <definedNames>
    <definedName name="Down_Payment">[1]Scenarios!$B$7</definedName>
    <definedName name="Expenses">[2]Iterate!$C$4</definedName>
    <definedName name="Finley_Sprocket">'[2]Break Even (Solver)'!$B$3:$B$12</definedName>
    <definedName name="Fixed_Costs">'[2]Break Even (Solver)'!$B$9:$C$9</definedName>
    <definedName name="Gross_Margin">[2]Iterate!$C$3</definedName>
    <definedName name="Gross_Profit">[2]Iterate!$C$5</definedName>
    <definedName name="House_Price">[1]Scenarios!$B$3</definedName>
    <definedName name="Interest_Rate">[1]Scenarios!$B$4</definedName>
    <definedName name="Langstrom_Wrench">'[2]Break Even (Solver)'!$C$3:$C$12</definedName>
    <definedName name="Net_Profit">[2]Iterate!$C$7</definedName>
    <definedName name="NPer" localSheetId="1">Equipment!$C$4</definedName>
    <definedName name="NPer2">'[2]Future Value (2-Inputs)'!$C$3</definedName>
    <definedName name="Paydown">[1]Scenarios!$B$9</definedName>
    <definedName name="Price">'[2]Break Even (Solver)'!$B$3:$C$3</definedName>
    <definedName name="Profit">'[2]Break Even (Solver)'!$B$12:$C$12</definedName>
    <definedName name="Profit_Margin">'[2]Break Even (Goal Seek)'!$B$12:$C$12</definedName>
    <definedName name="Profit_Sharing">[2]Iterate!$C$6</definedName>
    <definedName name="Profit_Sharing_Percentage">[2]Iterate!$C$9</definedName>
    <definedName name="Rate" localSheetId="1">Equipment!$C$3</definedName>
    <definedName name="Rate2">'[2]Future Value (2-Inputs)'!$C$2</definedName>
    <definedName name="Revenue">'[2]Break Even (Solver)'!$B$5:$C$5</definedName>
    <definedName name="Term">[1]Scenarios!$B$8</definedName>
    <definedName name="Total_Costs">'[2]Break Even (Solver)'!$B$10:$C$10</definedName>
    <definedName name="Unit_Cost">'[2]Break Even (Solver)'!$B$7:$C$7</definedName>
    <definedName name="Units">'[2]Break Even (Solver)'!$B$4:$C$4</definedName>
    <definedName name="Variable_Costs">'[2]Break Even (Solver)'!$B$8:$C$8</definedName>
  </definedNames>
  <calcPr calcId="191029"/>
  <webPublishing codePage="1252"/>
</workbook>
</file>

<file path=xl/calcChain.xml><?xml version="1.0" encoding="utf-8"?>
<calcChain xmlns="http://schemas.openxmlformats.org/spreadsheetml/2006/main">
  <c r="C7" i="3" l="1"/>
  <c r="G3" i="1" l="1"/>
  <c r="D4" i="1" s="1"/>
  <c r="C4" i="1" l="1"/>
  <c r="F4" i="1"/>
  <c r="E4" i="1"/>
</calcChain>
</file>

<file path=xl/sharedStrings.xml><?xml version="1.0" encoding="utf-8"?>
<sst xmlns="http://schemas.openxmlformats.org/spreadsheetml/2006/main" count="12" uniqueCount="12">
  <si>
    <t>Cost</t>
  </si>
  <si>
    <t>Labor</t>
  </si>
  <si>
    <t>Share</t>
  </si>
  <si>
    <t>Transportation</t>
  </si>
  <si>
    <t>Taxes</t>
  </si>
  <si>
    <t>Facilities</t>
  </si>
  <si>
    <t>Total</t>
  </si>
  <si>
    <t>Equipment Fund Calculation</t>
  </si>
  <si>
    <t>Interest Rate</t>
  </si>
  <si>
    <t>Period</t>
  </si>
  <si>
    <t>Annual Deposit</t>
  </si>
  <si>
    <t>Equipment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</si>
</sst>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\G\e\n\e\r\a\l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i/>
      <sz val="18"/>
      <color theme="3"/>
      <name val="Cambria"/>
      <family val="1"/>
      <scheme val="major"/>
    </font>
    <font>
      <sz val="10"/>
      <name val="MS Sans Serif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5" fillId="0" borderId="0"/>
  </cellStyleXfs>
  <cellXfs count="18">
    <xf numFmtId="0" fontId="0" fillId="0" borderId="0" xfId="0"/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44" fontId="0" fillId="0" borderId="5" xfId="1" applyFont="1" applyBorder="1"/>
    <xf numFmtId="44" fontId="0" fillId="0" borderId="0" xfId="1" applyFont="1" applyBorder="1"/>
    <xf numFmtId="0" fontId="2" fillId="2" borderId="7" xfId="0" applyFont="1" applyFill="1" applyBorder="1"/>
    <xf numFmtId="10" fontId="0" fillId="0" borderId="8" xfId="2" applyNumberFormat="1" applyFont="1" applyBorder="1"/>
    <xf numFmtId="10" fontId="0" fillId="0" borderId="9" xfId="2" applyNumberFormat="1" applyFont="1" applyBorder="1"/>
    <xf numFmtId="0" fontId="0" fillId="0" borderId="10" xfId="0" applyBorder="1"/>
    <xf numFmtId="44" fontId="2" fillId="0" borderId="6" xfId="1" applyFont="1" applyBorder="1"/>
    <xf numFmtId="164" fontId="4" fillId="0" borderId="0" xfId="3" applyNumberFormat="1" applyFont="1"/>
    <xf numFmtId="164" fontId="6" fillId="0" borderId="0" xfId="4" applyFont="1"/>
    <xf numFmtId="164" fontId="7" fillId="0" borderId="0" xfId="4" applyFont="1"/>
    <xf numFmtId="9" fontId="6" fillId="0" borderId="0" xfId="4" applyNumberFormat="1" applyFont="1"/>
    <xf numFmtId="1" fontId="6" fillId="0" borderId="0" xfId="4" applyNumberFormat="1" applyFont="1"/>
    <xf numFmtId="5" fontId="6" fillId="0" borderId="0" xfId="4" applyNumberFormat="1" applyFont="1"/>
  </cellXfs>
  <cellStyles count="5">
    <cellStyle name="Currency" xfId="1" builtinId="4"/>
    <cellStyle name="Normal" xfId="0" builtinId="0"/>
    <cellStyle name="Normal_COLLEGE" xfId="4" xr:uid="{D3697AEC-009E-420C-80D2-7F29ECF4895B}"/>
    <cellStyle name="Percent" xfId="2" builtinId="5"/>
    <cellStyle name="Title" xfId="3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ance/Documents/Work%20Force/Vestas%20Intermediate%202021/Chapter19FF%20Goal%20Seek%20and%20Data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1777c78eef3b74d/Workbooks/Examples/Ch15/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ture Value"/>
      <sheetName val="Future Value (Data Table)"/>
      <sheetName val="Future Value (Data Table 2)"/>
      <sheetName val="Future Value (2-Inputs)"/>
      <sheetName val="Goal Seek"/>
      <sheetName val="Product Margin"/>
      <sheetName val="Break Even"/>
      <sheetName val="Equations"/>
      <sheetName val="Scen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>
            <v>100000</v>
          </cell>
        </row>
        <row r="4">
          <cell r="B4">
            <v>0.04</v>
          </cell>
        </row>
        <row r="7">
          <cell r="B7">
            <v>20000</v>
          </cell>
        </row>
        <row r="8">
          <cell r="B8">
            <v>20</v>
          </cell>
        </row>
        <row r="9">
          <cell r="B9">
            <v>-100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ture Value"/>
      <sheetName val="Future Value (Data Table)"/>
      <sheetName val="Future Value (2-Inputs)"/>
      <sheetName val="Trend"/>
      <sheetName val="Iterate"/>
      <sheetName val="Correlation"/>
      <sheetName val="Descriptive"/>
      <sheetName val="Histogram"/>
      <sheetName val="Random (Dice Roll)"/>
      <sheetName val="Rank &amp; Percentile"/>
      <sheetName val="Goal Seek"/>
      <sheetName val="Margin"/>
      <sheetName val="Break Even"/>
      <sheetName val="Equations"/>
      <sheetName val="Chart Goal Seek"/>
      <sheetName val="Break Even (Goal Seek)"/>
      <sheetName val="Break Even (Solver)"/>
      <sheetName val="Sheet14"/>
      <sheetName val="Sheet15"/>
      <sheetName val="Sheet16"/>
    </sheetNames>
    <sheetDataSet>
      <sheetData sheetId="0"/>
      <sheetData sheetId="1"/>
      <sheetData sheetId="2">
        <row r="2">
          <cell r="C2">
            <v>0.05</v>
          </cell>
        </row>
        <row r="3">
          <cell r="C3">
            <v>10</v>
          </cell>
        </row>
      </sheetData>
      <sheetData sheetId="3"/>
      <sheetData sheetId="4">
        <row r="3">
          <cell r="C3">
            <v>1000000</v>
          </cell>
        </row>
        <row r="4">
          <cell r="C4">
            <v>900000</v>
          </cell>
        </row>
        <row r="5">
          <cell r="C5">
            <v>100000</v>
          </cell>
        </row>
        <row r="7">
          <cell r="C7">
            <v>100000</v>
          </cell>
        </row>
        <row r="9">
          <cell r="C9">
            <v>0.1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">
          <cell r="B12">
            <v>7177.0334928229568</v>
          </cell>
          <cell r="C12">
            <v>8032.1285140562686</v>
          </cell>
        </row>
      </sheetData>
      <sheetData sheetId="16">
        <row r="3">
          <cell r="B3">
            <v>24.95</v>
          </cell>
          <cell r="C3">
            <v>19.95</v>
          </cell>
        </row>
        <row r="4">
          <cell r="B4">
            <v>8032.1285140562231</v>
          </cell>
          <cell r="C4">
            <v>7177.0334928229695</v>
          </cell>
        </row>
        <row r="5">
          <cell r="B5">
            <v>200401.60642570278</v>
          </cell>
          <cell r="C5">
            <v>143181.81818181823</v>
          </cell>
        </row>
        <row r="7">
          <cell r="B7">
            <v>12.5</v>
          </cell>
          <cell r="C7">
            <v>9.5</v>
          </cell>
        </row>
        <row r="8">
          <cell r="B8">
            <v>93224.572932879819</v>
          </cell>
          <cell r="C8">
            <v>60149.689667761981</v>
          </cell>
        </row>
        <row r="9">
          <cell r="B9">
            <v>100000</v>
          </cell>
          <cell r="C9">
            <v>75000</v>
          </cell>
        </row>
        <row r="10">
          <cell r="B10">
            <v>193224.57293287982</v>
          </cell>
          <cell r="C10">
            <v>135149.68966776197</v>
          </cell>
        </row>
        <row r="12">
          <cell r="B12">
            <v>7177.0334928229568</v>
          </cell>
          <cell r="C12">
            <v>8032.1285140562686</v>
          </cell>
        </row>
      </sheetData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"/>
  <sheetViews>
    <sheetView tabSelected="1" zoomScale="120" zoomScaleNormal="120" workbookViewId="0">
      <selection activeCell="C4" sqref="C4"/>
    </sheetView>
  </sheetViews>
  <sheetFormatPr defaultRowHeight="14.4" x14ac:dyDescent="0.3"/>
  <cols>
    <col min="2" max="2" width="11.109375" customWidth="1"/>
    <col min="3" max="3" width="17.33203125" customWidth="1"/>
    <col min="4" max="4" width="17.6640625" customWidth="1"/>
    <col min="5" max="5" width="16.5546875" customWidth="1"/>
    <col min="6" max="6" width="17.109375" customWidth="1"/>
    <col min="7" max="7" width="18" customWidth="1"/>
  </cols>
  <sheetData>
    <row r="1" spans="2:7" ht="15" thickBot="1" x14ac:dyDescent="0.35"/>
    <row r="2" spans="2:7" x14ac:dyDescent="0.3">
      <c r="B2" s="1"/>
      <c r="C2" s="2" t="s">
        <v>1</v>
      </c>
      <c r="D2" s="2" t="s">
        <v>3</v>
      </c>
      <c r="E2" s="2" t="s">
        <v>4</v>
      </c>
      <c r="F2" s="2" t="s">
        <v>5</v>
      </c>
      <c r="G2" s="3" t="s">
        <v>6</v>
      </c>
    </row>
    <row r="3" spans="2:7" x14ac:dyDescent="0.3">
      <c r="B3" s="4" t="s">
        <v>0</v>
      </c>
      <c r="C3" s="5">
        <v>18000382</v>
      </c>
      <c r="D3" s="6">
        <v>35000000</v>
      </c>
      <c r="E3" s="6">
        <v>7000000</v>
      </c>
      <c r="F3" s="6">
        <v>19000000</v>
      </c>
      <c r="G3" s="11">
        <f>SUM(C3:F3)</f>
        <v>79000382</v>
      </c>
    </row>
    <row r="4" spans="2:7" ht="15" thickBot="1" x14ac:dyDescent="0.35">
      <c r="B4" s="7" t="s">
        <v>2</v>
      </c>
      <c r="C4" s="8">
        <f>C3/$G$3</f>
        <v>0.22785183494429179</v>
      </c>
      <c r="D4" s="9">
        <f t="shared" ref="D4:F4" si="0">D3/$G$3</f>
        <v>0.4430358324090129</v>
      </c>
      <c r="E4" s="9">
        <f t="shared" si="0"/>
        <v>8.8607166481802585E-2</v>
      </c>
      <c r="F4" s="9">
        <f t="shared" si="0"/>
        <v>0.24050516616489273</v>
      </c>
      <c r="G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4A1C-8DD4-4BEF-9AEC-B142AF69C05F}">
  <dimension ref="B1:D18"/>
  <sheetViews>
    <sheetView workbookViewId="0">
      <selection activeCell="D4" sqref="D4"/>
    </sheetView>
  </sheetViews>
  <sheetFormatPr defaultColWidth="9.109375" defaultRowHeight="18" x14ac:dyDescent="0.35"/>
  <cols>
    <col min="1" max="1" width="9.109375" style="13"/>
    <col min="2" max="2" width="19.88671875" style="13" customWidth="1"/>
    <col min="3" max="3" width="13.5546875" style="13" customWidth="1"/>
    <col min="4" max="4" width="16.5546875" style="13" customWidth="1"/>
    <col min="5" max="16384" width="9.109375" style="13"/>
  </cols>
  <sheetData>
    <row r="1" spans="2:4" ht="22.8" x14ac:dyDescent="0.4">
      <c r="B1" s="12" t="s">
        <v>7</v>
      </c>
    </row>
    <row r="3" spans="2:4" x14ac:dyDescent="0.35">
      <c r="B3" s="14" t="s">
        <v>8</v>
      </c>
      <c r="C3" s="15">
        <v>0.05</v>
      </c>
    </row>
    <row r="4" spans="2:4" x14ac:dyDescent="0.35">
      <c r="B4" s="14" t="s">
        <v>9</v>
      </c>
      <c r="C4" s="16">
        <v>5</v>
      </c>
    </row>
    <row r="5" spans="2:4" x14ac:dyDescent="0.35">
      <c r="B5" s="14" t="s">
        <v>10</v>
      </c>
      <c r="C5" s="17">
        <v>0</v>
      </c>
    </row>
    <row r="6" spans="2:4" x14ac:dyDescent="0.35">
      <c r="B6" s="14"/>
      <c r="C6" s="17"/>
    </row>
    <row r="7" spans="2:4" x14ac:dyDescent="0.35">
      <c r="B7" s="14" t="s">
        <v>11</v>
      </c>
      <c r="C7" s="17">
        <f>FV(C3, C4, C5)</f>
        <v>0</v>
      </c>
    </row>
    <row r="8" spans="2:4" x14ac:dyDescent="0.35">
      <c r="B8" s="14"/>
      <c r="C8" s="15"/>
    </row>
    <row r="10" spans="2:4" x14ac:dyDescent="0.35">
      <c r="D10" s="14"/>
    </row>
    <row r="11" spans="2:4" x14ac:dyDescent="0.35">
      <c r="B11" s="14"/>
      <c r="D11" s="17"/>
    </row>
    <row r="12" spans="2:4" x14ac:dyDescent="0.35">
      <c r="B12" s="17"/>
      <c r="C12" s="17"/>
      <c r="D12" s="17"/>
    </row>
    <row r="13" spans="2:4" x14ac:dyDescent="0.35">
      <c r="B13" s="17"/>
      <c r="C13" s="17"/>
      <c r="D13" s="17"/>
    </row>
    <row r="14" spans="2:4" x14ac:dyDescent="0.35">
      <c r="B14" s="17"/>
      <c r="C14" s="17"/>
      <c r="D14" s="17"/>
    </row>
    <row r="15" spans="2:4" x14ac:dyDescent="0.35">
      <c r="B15" s="17"/>
      <c r="C15" s="17"/>
      <c r="D15" s="17"/>
    </row>
    <row r="16" spans="2:4" x14ac:dyDescent="0.35">
      <c r="B16" s="17"/>
      <c r="C16" s="17"/>
      <c r="D16" s="17"/>
    </row>
    <row r="17" spans="2:4" x14ac:dyDescent="0.35">
      <c r="B17" s="17"/>
      <c r="C17" s="17"/>
      <c r="D17" s="17"/>
    </row>
    <row r="18" spans="2:4" x14ac:dyDescent="0.35">
      <c r="B18" s="17"/>
      <c r="C18" s="17"/>
      <c r="D18" s="17"/>
    </row>
  </sheetData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&amp;F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Stage-Notes xmlns="b49051fe-4646-4981-af49-10bb2dc6861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49359FE4E76F4DA5E078606C6FB132" ma:contentTypeVersion="" ma:contentTypeDescription="Create a new document." ma:contentTypeScope="" ma:versionID="4e5dc9a1cef7e72b0c70c15e21e3cf5b">
  <xsd:schema xmlns:xsd="http://www.w3.org/2001/XMLSchema" xmlns:xs="http://www.w3.org/2001/XMLSchema" xmlns:p="http://schemas.microsoft.com/office/2006/metadata/properties" xmlns:ns2="b49051fe-4646-4981-af49-10bb2dc6861b" targetNamespace="http://schemas.microsoft.com/office/2006/metadata/properties" ma:root="true" ma:fieldsID="8cb98404e8479986d4d3fa8fd5071fe3" ns2:_="">
    <xsd:import namespace="b49051fe-4646-4981-af49-10bb2dc6861b"/>
    <xsd:element name="properties">
      <xsd:complexType>
        <xsd:sequence>
          <xsd:element name="documentManagement">
            <xsd:complexType>
              <xsd:all>
                <xsd:element ref="ns2:Stage-Notes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051fe-4646-4981-af49-10bb2dc6861b" elementFormDefault="qualified">
    <xsd:import namespace="http://schemas.microsoft.com/office/2006/documentManagement/types"/>
    <xsd:import namespace="http://schemas.microsoft.com/office/infopath/2007/PartnerControls"/>
    <xsd:element name="Stage-Notes" ma:index="8" nillable="true" ma:displayName="Stage-Notes" ma:description="Optional status notes" ma:internalName="Stage_x002d_Notes">
      <xsd:simpleType>
        <xsd:restriction base="dms:Text">
          <xsd:maxLength value="50"/>
        </xsd:restriction>
      </xsd:simpleType>
    </xsd:element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ACB40-0A9A-4BCA-9F6F-F2A366620D98}">
  <ds:schemaRefs>
    <ds:schemaRef ds:uri="http://schemas.microsoft.com/office/2006/metadata/properties"/>
    <ds:schemaRef ds:uri="b49051fe-4646-4981-af49-10bb2dc6861b"/>
  </ds:schemaRefs>
</ds:datastoreItem>
</file>

<file path=customXml/itemProps2.xml><?xml version="1.0" encoding="utf-8"?>
<ds:datastoreItem xmlns:ds="http://schemas.openxmlformats.org/officeDocument/2006/customXml" ds:itemID="{8088BFE3-17B2-4ABF-A503-144F0FD9C1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5DB0B6-E5B9-450B-B52C-4A1D5C41E7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9051fe-4646-4981-af49-10bb2dc686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Cost Summary</vt:lpstr>
      <vt:lpstr>Equipment</vt:lpstr>
      <vt:lpstr>Equipment!NPer</vt:lpstr>
      <vt:lpstr>Equipment!Rate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Connie Lance</cp:lastModifiedBy>
  <dcterms:created xsi:type="dcterms:W3CDTF">2006-06-28T08:29:40Z</dcterms:created>
  <dcterms:modified xsi:type="dcterms:W3CDTF">2021-02-15T20:30:18Z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0x0101007449359FE4E76F4DA5E078606C6FB132</vt:lpwstr>
  </property>
</Properties>
</file>