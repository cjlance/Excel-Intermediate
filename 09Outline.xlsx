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C5FC6338-7475-4B98-8364-B8E14E4D792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Billing" sheetId="1" r:id="rId1"/>
  </sheets>
  <calcPr calcId="191029"/>
</workbook>
</file>

<file path=xl/calcChain.xml><?xml version="1.0" encoding="utf-8"?>
<calcChain xmlns="http://schemas.openxmlformats.org/spreadsheetml/2006/main">
  <c r="L27" i="1" l="1"/>
  <c r="L26" i="1"/>
  <c r="L25" i="1"/>
  <c r="B28" i="1"/>
  <c r="J28" i="1"/>
  <c r="L5" i="1"/>
  <c r="L6" i="1"/>
  <c r="L7" i="1"/>
  <c r="L8" i="1"/>
  <c r="L9" i="1"/>
  <c r="L10" i="1"/>
  <c r="L12" i="1"/>
  <c r="L11" i="1"/>
  <c r="L13" i="1"/>
  <c r="L14" i="1"/>
  <c r="L17" i="1"/>
  <c r="L19" i="1"/>
  <c r="L16" i="1"/>
  <c r="L18" i="1"/>
  <c r="L15" i="1"/>
  <c r="L21" i="1"/>
  <c r="L20" i="1"/>
  <c r="L23" i="1"/>
  <c r="L22" i="1"/>
  <c r="L24" i="1"/>
  <c r="L28" i="1" l="1"/>
</calcChain>
</file>

<file path=xl/sharedStrings.xml><?xml version="1.0" encoding="utf-8"?>
<sst xmlns="http://schemas.openxmlformats.org/spreadsheetml/2006/main" count="177" uniqueCount="102">
  <si>
    <t>O'Donovan &amp; Sullivan Law Associates</t>
  </si>
  <si>
    <t>Associate Billing Summary</t>
  </si>
  <si>
    <t>Date</t>
  </si>
  <si>
    <t>Area</t>
  </si>
  <si>
    <t>Rate</t>
  </si>
  <si>
    <t>FL-325</t>
  </si>
  <si>
    <t>Divorce</t>
  </si>
  <si>
    <t>EP-652</t>
  </si>
  <si>
    <t>Wills</t>
  </si>
  <si>
    <t>CL-412</t>
  </si>
  <si>
    <t>Corporate</t>
  </si>
  <si>
    <t>IN-745</t>
  </si>
  <si>
    <t>Insurance</t>
  </si>
  <si>
    <t>EL-632</t>
  </si>
  <si>
    <t>Employment</t>
  </si>
  <si>
    <t>RE-475</t>
  </si>
  <si>
    <t>Real Estate</t>
  </si>
  <si>
    <t>CL-501</t>
  </si>
  <si>
    <t>CL-521</t>
  </si>
  <si>
    <t>PL-348</t>
  </si>
  <si>
    <t>Patent</t>
  </si>
  <si>
    <t>RE-492</t>
  </si>
  <si>
    <t>PL-512</t>
  </si>
  <si>
    <t>Pension</t>
  </si>
  <si>
    <t>FL-385</t>
  </si>
  <si>
    <t>Separation</t>
  </si>
  <si>
    <t>CL-450</t>
  </si>
  <si>
    <t>IN-801</t>
  </si>
  <si>
    <t>EP-685</t>
  </si>
  <si>
    <t>Estate</t>
  </si>
  <si>
    <t>RE-501</t>
  </si>
  <si>
    <t>File</t>
  </si>
  <si>
    <t>Client</t>
  </si>
  <si>
    <t>Billable Hours</t>
  </si>
  <si>
    <t>Marty</t>
  </si>
  <si>
    <t>Toni</t>
  </si>
  <si>
    <t>Sullivan</t>
  </si>
  <si>
    <t>Rosa</t>
  </si>
  <si>
    <t>Martinez</t>
  </si>
  <si>
    <t>Kyle</t>
  </si>
  <si>
    <t>Williams</t>
  </si>
  <si>
    <t>O'Donovan</t>
  </si>
  <si>
    <t>Attorney FName</t>
  </si>
  <si>
    <t>Attorney LName</t>
  </si>
  <si>
    <t>RE-522</t>
  </si>
  <si>
    <t>Fees Due</t>
  </si>
  <si>
    <t>Total</t>
  </si>
  <si>
    <t>Joseph</t>
  </si>
  <si>
    <t>Ferreira</t>
  </si>
  <si>
    <t>Robert</t>
  </si>
  <si>
    <t>Kolcz</t>
  </si>
  <si>
    <t>Hilary</t>
  </si>
  <si>
    <t>Schmidt</t>
  </si>
  <si>
    <t>Victor</t>
  </si>
  <si>
    <t>Boscovic</t>
  </si>
  <si>
    <t>Daniel</t>
  </si>
  <si>
    <t>Armstrong</t>
  </si>
  <si>
    <t>Penny</t>
  </si>
  <si>
    <t>Cooke</t>
  </si>
  <si>
    <t>Gene</t>
  </si>
  <si>
    <t>Marsales</t>
  </si>
  <si>
    <t>Dana</t>
  </si>
  <si>
    <t>Fletcher</t>
  </si>
  <si>
    <t>Alexander</t>
  </si>
  <si>
    <t>Torrez</t>
  </si>
  <si>
    <t>Jean</t>
  </si>
  <si>
    <t>Sauve</t>
  </si>
  <si>
    <t>Lana</t>
  </si>
  <si>
    <t>Moore</t>
  </si>
  <si>
    <t>Sam</t>
  </si>
  <si>
    <t>Tonini</t>
  </si>
  <si>
    <t>Paul</t>
  </si>
  <si>
    <t>Sebastian</t>
  </si>
  <si>
    <t>Henri</t>
  </si>
  <si>
    <t>Poissant</t>
  </si>
  <si>
    <t>Jade</t>
  </si>
  <si>
    <t>Eckler</t>
  </si>
  <si>
    <t>Frank</t>
  </si>
  <si>
    <t>Kinsela</t>
  </si>
  <si>
    <t>Connie</t>
  </si>
  <si>
    <t>Melanson</t>
  </si>
  <si>
    <t>Client FName</t>
  </si>
  <si>
    <t>Client LName</t>
  </si>
  <si>
    <t>Case Code</t>
  </si>
  <si>
    <t>10104-FL-325</t>
  </si>
  <si>
    <t>10106-EP-652</t>
  </si>
  <si>
    <t>10125-CL-412</t>
  </si>
  <si>
    <t>10210-IN-745</t>
  </si>
  <si>
    <t>10225-EL-632</t>
  </si>
  <si>
    <t>10285-RE-475</t>
  </si>
  <si>
    <t>10334-CL-521</t>
  </si>
  <si>
    <t>10341-CL-501</t>
  </si>
  <si>
    <t>10420-PL-348</t>
  </si>
  <si>
    <t>10425-RE-492</t>
  </si>
  <si>
    <t>10278-FL-385</t>
  </si>
  <si>
    <t>10290-PL-512</t>
  </si>
  <si>
    <t>10346-IN-801</t>
  </si>
  <si>
    <t>10358-CL-450</t>
  </si>
  <si>
    <t>10384-RE-501</t>
  </si>
  <si>
    <t>10495-EP-685</t>
  </si>
  <si>
    <t>10512-RE-522</t>
  </si>
  <si>
    <t>October 5 to 9,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</si>
</sst>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onstantia"/>
      <family val="2"/>
      <scheme val="minor"/>
    </font>
    <font>
      <sz val="11"/>
      <color theme="1"/>
      <name val="Constantia"/>
      <family val="2"/>
      <scheme val="minor"/>
    </font>
    <font>
      <sz val="14"/>
      <name val="Copperplate Gothic Bold"/>
      <family val="2"/>
    </font>
    <font>
      <b/>
      <sz val="12"/>
      <name val="Copperplate Gothic Light"/>
      <family val="2"/>
    </font>
    <font>
      <sz val="11"/>
      <color theme="1"/>
      <name val="Constantia"/>
      <scheme val="minor"/>
    </font>
    <font>
      <b/>
      <sz val="11"/>
      <color theme="0"/>
      <name val="Constantia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43" fontId="0" fillId="0" borderId="0" xfId="1" applyFont="1"/>
    <xf numFmtId="43" fontId="4" fillId="0" borderId="0" xfId="1" applyFont="1"/>
    <xf numFmtId="0" fontId="5" fillId="3" borderId="0" xfId="0" applyFont="1" applyFill="1" applyAlignment="1">
      <alignment horizontal="center"/>
    </xf>
    <xf numFmtId="43" fontId="0" fillId="0" borderId="0" xfId="0" applyNumberFormat="1"/>
    <xf numFmtId="0" fontId="4" fillId="0" borderId="0" xfId="0" applyNumberFormat="1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1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scheme val="minor"/>
      </font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tantia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ctWk1" displayName="OctWk1" ref="A4:L28" totalsRowCount="1" headerRowDxfId="10">
  <autoFilter ref="A4:L27" xr:uid="{00000000-0009-0000-0100-000001000000}"/>
  <sortState ref="A5:L24">
    <sortCondition ref="D5:D25"/>
    <sortCondition ref="B5:B25"/>
  </sortState>
  <tableColumns count="12">
    <tableColumn id="1" xr3:uid="{00000000-0010-0000-0000-000001000000}" name="File" totalsRowLabel="Total"/>
    <tableColumn id="2" xr3:uid="{00000000-0010-0000-0000-000002000000}" name="Client" totalsRowFunction="count" dataDxfId="9" totalsRowDxfId="8"/>
    <tableColumn id="12" xr3:uid="{00000000-0010-0000-0000-00000C000000}" name="Case Code" dataDxfId="7"/>
    <tableColumn id="3" xr3:uid="{00000000-0010-0000-0000-000003000000}" name="Date" dataDxfId="6" totalsRowDxfId="5"/>
    <tableColumn id="4" xr3:uid="{00000000-0010-0000-0000-000004000000}" name="Client FName"/>
    <tableColumn id="11" xr3:uid="{00000000-0010-0000-0000-00000B000000}" name="Client LName"/>
    <tableColumn id="5" xr3:uid="{00000000-0010-0000-0000-000005000000}" name="Attorney FName"/>
    <tableColumn id="6" xr3:uid="{00000000-0010-0000-0000-000006000000}" name="Attorney LName"/>
    <tableColumn id="7" xr3:uid="{00000000-0010-0000-0000-000007000000}" name="Area"/>
    <tableColumn id="8" xr3:uid="{00000000-0010-0000-0000-000008000000}" name="Billable Hours" totalsRowFunction="sum" dataDxfId="4" totalsRowDxfId="3"/>
    <tableColumn id="9" xr3:uid="{00000000-0010-0000-0000-000009000000}" name="Rate" dataDxfId="2" totalsRowDxfId="1" dataCellStyle="Comma"/>
    <tableColumn id="10" xr3:uid="{00000000-0010-0000-0000-00000A000000}" name="Fees Due" totalsRowFunction="sum" totalsRowDxfId="0" dataCellStyle="Comma">
      <calculatedColumnFormula>OctWk1[[#This Row],[Billable Hours]]*OctWk1[[#This Row],[Rate]]</calculatedColumnFormula>
    </tableColumn>
  </tableColumns>
  <tableStyleInfo name="TableStyleMedium15" showFirstColumn="1" showLastColumn="0" showRowStripes="0" showColumnStripes="1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abSelected="1" workbookViewId="0">
      <selection activeCell="M18" sqref="M18"/>
    </sheetView>
  </sheetViews>
  <sheetFormatPr defaultRowHeight="14.4" x14ac:dyDescent="0.3"/>
  <cols>
    <col min="1" max="1" width="8.3984375" bestFit="1" customWidth="1"/>
    <col min="2" max="2" width="10.59765625" bestFit="1" customWidth="1"/>
    <col min="3" max="3" width="13.59765625" customWidth="1"/>
    <col min="4" max="4" width="9.3984375" bestFit="1" customWidth="1"/>
    <col min="5" max="5" width="17.3984375" bestFit="1" customWidth="1"/>
    <col min="6" max="6" width="17.5" bestFit="1" customWidth="1"/>
    <col min="7" max="7" width="19.8984375" bestFit="1" customWidth="1"/>
    <col min="8" max="8" width="20" bestFit="1" customWidth="1"/>
    <col min="9" max="9" width="11.19921875" bestFit="1" customWidth="1"/>
    <col min="10" max="10" width="18.09765625" bestFit="1" customWidth="1"/>
    <col min="11" max="11" width="9.19921875" bestFit="1" customWidth="1"/>
    <col min="12" max="12" width="13.09765625" bestFit="1" customWidth="1"/>
  </cols>
  <sheetData>
    <row r="1" spans="1:12" ht="17.399999999999999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7.399999999999999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6" x14ac:dyDescent="0.3">
      <c r="A3" s="10" t="s">
        <v>101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s="6" t="s">
        <v>31</v>
      </c>
      <c r="B4" s="6" t="s">
        <v>32</v>
      </c>
      <c r="C4" s="6" t="s">
        <v>83</v>
      </c>
      <c r="D4" s="6" t="s">
        <v>2</v>
      </c>
      <c r="E4" s="6" t="s">
        <v>81</v>
      </c>
      <c r="F4" s="6" t="s">
        <v>82</v>
      </c>
      <c r="G4" s="6" t="s">
        <v>42</v>
      </c>
      <c r="H4" s="6" t="s">
        <v>43</v>
      </c>
      <c r="I4" s="6" t="s">
        <v>3</v>
      </c>
      <c r="J4" s="6" t="s">
        <v>33</v>
      </c>
      <c r="K4" s="6" t="s">
        <v>4</v>
      </c>
      <c r="L4" s="6" t="s">
        <v>45</v>
      </c>
    </row>
    <row r="5" spans="1:12" x14ac:dyDescent="0.3">
      <c r="A5" t="s">
        <v>5</v>
      </c>
      <c r="B5" s="1">
        <v>10104</v>
      </c>
      <c r="C5" s="1" t="s">
        <v>84</v>
      </c>
      <c r="D5" s="2">
        <v>44474</v>
      </c>
      <c r="E5" t="s">
        <v>47</v>
      </c>
      <c r="F5" t="s">
        <v>48</v>
      </c>
      <c r="G5" t="s">
        <v>34</v>
      </c>
      <c r="H5" t="s">
        <v>41</v>
      </c>
      <c r="I5" t="s">
        <v>6</v>
      </c>
      <c r="J5" s="3">
        <v>6.75</v>
      </c>
      <c r="K5" s="4">
        <v>85</v>
      </c>
      <c r="L5" s="4">
        <f>OctWk1[[#This Row],[Billable Hours]]*OctWk1[[#This Row],[Rate]]</f>
        <v>573.75</v>
      </c>
    </row>
    <row r="6" spans="1:12" x14ac:dyDescent="0.3">
      <c r="A6" t="s">
        <v>7</v>
      </c>
      <c r="B6" s="1">
        <v>10106</v>
      </c>
      <c r="C6" s="1" t="s">
        <v>85</v>
      </c>
      <c r="D6" s="2">
        <v>44474</v>
      </c>
      <c r="E6" t="s">
        <v>49</v>
      </c>
      <c r="F6" t="s">
        <v>50</v>
      </c>
      <c r="G6" t="s">
        <v>34</v>
      </c>
      <c r="H6" t="s">
        <v>41</v>
      </c>
      <c r="I6" t="s">
        <v>8</v>
      </c>
      <c r="J6" s="3">
        <v>3.25</v>
      </c>
      <c r="K6" s="4">
        <v>85</v>
      </c>
      <c r="L6" s="4">
        <f>OctWk1[[#This Row],[Billable Hours]]*OctWk1[[#This Row],[Rate]]</f>
        <v>276.25</v>
      </c>
    </row>
    <row r="7" spans="1:12" x14ac:dyDescent="0.3">
      <c r="A7" t="s">
        <v>9</v>
      </c>
      <c r="B7" s="1">
        <v>10125</v>
      </c>
      <c r="C7" s="1" t="s">
        <v>86</v>
      </c>
      <c r="D7" s="2">
        <v>44474</v>
      </c>
      <c r="E7" t="s">
        <v>51</v>
      </c>
      <c r="F7" t="s">
        <v>52</v>
      </c>
      <c r="G7" t="s">
        <v>35</v>
      </c>
      <c r="H7" t="s">
        <v>36</v>
      </c>
      <c r="I7" t="s">
        <v>10</v>
      </c>
      <c r="J7" s="3">
        <v>5.25</v>
      </c>
      <c r="K7" s="4">
        <v>75</v>
      </c>
      <c r="L7" s="4">
        <f>OctWk1[[#This Row],[Billable Hours]]*OctWk1[[#This Row],[Rate]]</f>
        <v>393.75</v>
      </c>
    </row>
    <row r="8" spans="1:12" x14ac:dyDescent="0.3">
      <c r="A8" t="s">
        <v>11</v>
      </c>
      <c r="B8" s="1">
        <v>10210</v>
      </c>
      <c r="C8" s="1" t="s">
        <v>87</v>
      </c>
      <c r="D8" s="2">
        <v>44475</v>
      </c>
      <c r="E8" t="s">
        <v>53</v>
      </c>
      <c r="F8" t="s">
        <v>54</v>
      </c>
      <c r="G8" t="s">
        <v>37</v>
      </c>
      <c r="H8" t="s">
        <v>38</v>
      </c>
      <c r="I8" t="s">
        <v>12</v>
      </c>
      <c r="J8" s="3">
        <v>4.25</v>
      </c>
      <c r="K8" s="4">
        <v>100</v>
      </c>
      <c r="L8" s="4">
        <f>OctWk1[[#This Row],[Billable Hours]]*OctWk1[[#This Row],[Rate]]</f>
        <v>425</v>
      </c>
    </row>
    <row r="9" spans="1:12" x14ac:dyDescent="0.3">
      <c r="A9" t="s">
        <v>13</v>
      </c>
      <c r="B9" s="1">
        <v>10225</v>
      </c>
      <c r="C9" s="1" t="s">
        <v>88</v>
      </c>
      <c r="D9" s="2">
        <v>44475</v>
      </c>
      <c r="E9" t="s">
        <v>55</v>
      </c>
      <c r="F9" t="s">
        <v>56</v>
      </c>
      <c r="G9" t="s">
        <v>37</v>
      </c>
      <c r="H9" t="s">
        <v>38</v>
      </c>
      <c r="I9" t="s">
        <v>14</v>
      </c>
      <c r="J9" s="3">
        <v>3.25</v>
      </c>
      <c r="K9" s="4">
        <v>100</v>
      </c>
      <c r="L9" s="4">
        <f>OctWk1[[#This Row],[Billable Hours]]*OctWk1[[#This Row],[Rate]]</f>
        <v>325</v>
      </c>
    </row>
    <row r="10" spans="1:12" x14ac:dyDescent="0.3">
      <c r="A10" t="s">
        <v>15</v>
      </c>
      <c r="B10" s="1">
        <v>10285</v>
      </c>
      <c r="C10" s="1" t="s">
        <v>89</v>
      </c>
      <c r="D10" s="2">
        <v>44475</v>
      </c>
      <c r="E10" t="s">
        <v>57</v>
      </c>
      <c r="F10" t="s">
        <v>58</v>
      </c>
      <c r="G10" t="s">
        <v>39</v>
      </c>
      <c r="H10" t="s">
        <v>40</v>
      </c>
      <c r="I10" t="s">
        <v>16</v>
      </c>
      <c r="J10" s="3">
        <v>2.75</v>
      </c>
      <c r="K10" s="4">
        <v>90</v>
      </c>
      <c r="L10" s="4">
        <f>OctWk1[[#This Row],[Billable Hours]]*OctWk1[[#This Row],[Rate]]</f>
        <v>247.5</v>
      </c>
    </row>
    <row r="11" spans="1:12" x14ac:dyDescent="0.3">
      <c r="A11" t="s">
        <v>18</v>
      </c>
      <c r="B11" s="1">
        <v>10334</v>
      </c>
      <c r="C11" s="1" t="s">
        <v>90</v>
      </c>
      <c r="D11" s="2">
        <v>44476</v>
      </c>
      <c r="E11" t="s">
        <v>59</v>
      </c>
      <c r="F11" t="s">
        <v>60</v>
      </c>
      <c r="G11" t="s">
        <v>35</v>
      </c>
      <c r="H11" t="s">
        <v>36</v>
      </c>
      <c r="I11" t="s">
        <v>10</v>
      </c>
      <c r="J11" s="3">
        <v>4.25</v>
      </c>
      <c r="K11" s="4">
        <v>75</v>
      </c>
      <c r="L11" s="4">
        <f>OctWk1[[#This Row],[Billable Hours]]*OctWk1[[#This Row],[Rate]]</f>
        <v>318.75</v>
      </c>
    </row>
    <row r="12" spans="1:12" x14ac:dyDescent="0.3">
      <c r="A12" t="s">
        <v>17</v>
      </c>
      <c r="B12" s="1">
        <v>10341</v>
      </c>
      <c r="C12" s="1" t="s">
        <v>91</v>
      </c>
      <c r="D12" s="2">
        <v>44476</v>
      </c>
      <c r="E12" t="s">
        <v>61</v>
      </c>
      <c r="F12" t="s">
        <v>62</v>
      </c>
      <c r="G12" t="s">
        <v>35</v>
      </c>
      <c r="H12" t="s">
        <v>36</v>
      </c>
      <c r="I12" t="s">
        <v>10</v>
      </c>
      <c r="J12" s="3">
        <v>5.25</v>
      </c>
      <c r="K12" s="4">
        <v>75</v>
      </c>
      <c r="L12" s="4">
        <f>OctWk1[[#This Row],[Billable Hours]]*OctWk1[[#This Row],[Rate]]</f>
        <v>393.75</v>
      </c>
    </row>
    <row r="13" spans="1:12" x14ac:dyDescent="0.3">
      <c r="A13" t="s">
        <v>19</v>
      </c>
      <c r="B13" s="1">
        <v>10420</v>
      </c>
      <c r="C13" s="1" t="s">
        <v>92</v>
      </c>
      <c r="D13" s="2">
        <v>44476</v>
      </c>
      <c r="E13" t="s">
        <v>63</v>
      </c>
      <c r="F13" t="s">
        <v>64</v>
      </c>
      <c r="G13" t="s">
        <v>37</v>
      </c>
      <c r="H13" t="s">
        <v>38</v>
      </c>
      <c r="I13" t="s">
        <v>20</v>
      </c>
      <c r="J13" s="3">
        <v>5</v>
      </c>
      <c r="K13" s="4">
        <v>100</v>
      </c>
      <c r="L13" s="4">
        <f>OctWk1[[#This Row],[Billable Hours]]*OctWk1[[#This Row],[Rate]]</f>
        <v>500</v>
      </c>
    </row>
    <row r="14" spans="1:12" x14ac:dyDescent="0.3">
      <c r="A14" t="s">
        <v>21</v>
      </c>
      <c r="B14" s="1">
        <v>10425</v>
      </c>
      <c r="C14" s="1" t="s">
        <v>93</v>
      </c>
      <c r="D14" s="2">
        <v>44476</v>
      </c>
      <c r="E14" t="s">
        <v>65</v>
      </c>
      <c r="F14" t="s">
        <v>66</v>
      </c>
      <c r="G14" t="s">
        <v>39</v>
      </c>
      <c r="H14" t="s">
        <v>40</v>
      </c>
      <c r="I14" t="s">
        <v>16</v>
      </c>
      <c r="J14" s="3">
        <v>3.25</v>
      </c>
      <c r="K14" s="4">
        <v>90</v>
      </c>
      <c r="L14" s="4">
        <f>OctWk1[[#This Row],[Billable Hours]]*OctWk1[[#This Row],[Rate]]</f>
        <v>292.5</v>
      </c>
    </row>
    <row r="15" spans="1:12" x14ac:dyDescent="0.3">
      <c r="A15" t="s">
        <v>9</v>
      </c>
      <c r="B15" s="1">
        <v>10125</v>
      </c>
      <c r="C15" s="1" t="s">
        <v>86</v>
      </c>
      <c r="D15" s="2">
        <v>44477</v>
      </c>
      <c r="E15" t="s">
        <v>51</v>
      </c>
      <c r="F15" t="s">
        <v>52</v>
      </c>
      <c r="G15" t="s">
        <v>35</v>
      </c>
      <c r="H15" t="s">
        <v>36</v>
      </c>
      <c r="I15" t="s">
        <v>10</v>
      </c>
      <c r="J15" s="3">
        <v>5.25</v>
      </c>
      <c r="K15" s="4">
        <v>75</v>
      </c>
      <c r="L15" s="4">
        <f>OctWk1[[#This Row],[Billable Hours]]*OctWk1[[#This Row],[Rate]]</f>
        <v>393.75</v>
      </c>
    </row>
    <row r="16" spans="1:12" x14ac:dyDescent="0.3">
      <c r="A16" t="s">
        <v>11</v>
      </c>
      <c r="B16" s="1">
        <v>10210</v>
      </c>
      <c r="C16" s="1" t="s">
        <v>87</v>
      </c>
      <c r="D16" s="2">
        <v>44477</v>
      </c>
      <c r="E16" t="s">
        <v>53</v>
      </c>
      <c r="F16" t="s">
        <v>54</v>
      </c>
      <c r="G16" t="s">
        <v>37</v>
      </c>
      <c r="H16" t="s">
        <v>38</v>
      </c>
      <c r="I16" t="s">
        <v>12</v>
      </c>
      <c r="J16" s="3">
        <v>4.5</v>
      </c>
      <c r="K16" s="4">
        <v>100</v>
      </c>
      <c r="L16" s="4">
        <f>OctWk1[[#This Row],[Billable Hours]]*OctWk1[[#This Row],[Rate]]</f>
        <v>450</v>
      </c>
    </row>
    <row r="17" spans="1:12" x14ac:dyDescent="0.3">
      <c r="A17" t="s">
        <v>13</v>
      </c>
      <c r="B17" s="1">
        <v>10225</v>
      </c>
      <c r="C17" s="1" t="s">
        <v>88</v>
      </c>
      <c r="D17" s="2">
        <v>44477</v>
      </c>
      <c r="E17" t="s">
        <v>55</v>
      </c>
      <c r="F17" t="s">
        <v>56</v>
      </c>
      <c r="G17" t="s">
        <v>37</v>
      </c>
      <c r="H17" t="s">
        <v>38</v>
      </c>
      <c r="I17" t="s">
        <v>14</v>
      </c>
      <c r="J17" s="3">
        <v>4.5</v>
      </c>
      <c r="K17" s="4">
        <v>100</v>
      </c>
      <c r="L17" s="4">
        <f>OctWk1[[#This Row],[Billable Hours]]*OctWk1[[#This Row],[Rate]]</f>
        <v>450</v>
      </c>
    </row>
    <row r="18" spans="1:12" x14ac:dyDescent="0.3">
      <c r="A18" t="s">
        <v>24</v>
      </c>
      <c r="B18" s="1">
        <v>10278</v>
      </c>
      <c r="C18" s="1" t="s">
        <v>94</v>
      </c>
      <c r="D18" s="2">
        <v>44477</v>
      </c>
      <c r="E18" t="s">
        <v>67</v>
      </c>
      <c r="F18" t="s">
        <v>68</v>
      </c>
      <c r="G18" t="s">
        <v>34</v>
      </c>
      <c r="H18" t="s">
        <v>41</v>
      </c>
      <c r="I18" t="s">
        <v>25</v>
      </c>
      <c r="J18" s="3">
        <v>5.25</v>
      </c>
      <c r="K18" s="4">
        <v>85</v>
      </c>
      <c r="L18" s="4">
        <f>OctWk1[[#This Row],[Billable Hours]]*OctWk1[[#This Row],[Rate]]</f>
        <v>446.25</v>
      </c>
    </row>
    <row r="19" spans="1:12" x14ac:dyDescent="0.3">
      <c r="A19" t="s">
        <v>22</v>
      </c>
      <c r="B19" s="1">
        <v>10290</v>
      </c>
      <c r="C19" s="1" t="s">
        <v>95</v>
      </c>
      <c r="D19" s="2">
        <v>44477</v>
      </c>
      <c r="E19" t="s">
        <v>69</v>
      </c>
      <c r="F19" t="s">
        <v>70</v>
      </c>
      <c r="G19" t="s">
        <v>37</v>
      </c>
      <c r="H19" t="s">
        <v>38</v>
      </c>
      <c r="I19" t="s">
        <v>23</v>
      </c>
      <c r="J19" s="3">
        <v>3.75</v>
      </c>
      <c r="K19" s="4">
        <v>100</v>
      </c>
      <c r="L19" s="4">
        <f>OctWk1[[#This Row],[Billable Hours]]*OctWk1[[#This Row],[Rate]]</f>
        <v>375</v>
      </c>
    </row>
    <row r="20" spans="1:12" x14ac:dyDescent="0.3">
      <c r="A20" t="s">
        <v>27</v>
      </c>
      <c r="B20" s="1">
        <v>10346</v>
      </c>
      <c r="C20" s="1" t="s">
        <v>96</v>
      </c>
      <c r="D20" s="2">
        <v>44478</v>
      </c>
      <c r="E20" t="s">
        <v>71</v>
      </c>
      <c r="F20" t="s">
        <v>72</v>
      </c>
      <c r="G20" t="s">
        <v>37</v>
      </c>
      <c r="H20" t="s">
        <v>38</v>
      </c>
      <c r="I20" t="s">
        <v>12</v>
      </c>
      <c r="J20" s="3">
        <v>4.25</v>
      </c>
      <c r="K20" s="4">
        <v>100</v>
      </c>
      <c r="L20" s="4">
        <f>OctWk1[[#This Row],[Billable Hours]]*OctWk1[[#This Row],[Rate]]</f>
        <v>425</v>
      </c>
    </row>
    <row r="21" spans="1:12" x14ac:dyDescent="0.3">
      <c r="A21" t="s">
        <v>26</v>
      </c>
      <c r="B21" s="1">
        <v>10358</v>
      </c>
      <c r="C21" s="1" t="s">
        <v>97</v>
      </c>
      <c r="D21" s="2">
        <v>44478</v>
      </c>
      <c r="E21" t="s">
        <v>73</v>
      </c>
      <c r="F21" t="s">
        <v>74</v>
      </c>
      <c r="G21" t="s">
        <v>35</v>
      </c>
      <c r="H21" t="s">
        <v>36</v>
      </c>
      <c r="I21" t="s">
        <v>10</v>
      </c>
      <c r="J21" s="3">
        <v>3.5</v>
      </c>
      <c r="K21" s="4">
        <v>75</v>
      </c>
      <c r="L21" s="4">
        <f>OctWk1[[#This Row],[Billable Hours]]*OctWk1[[#This Row],[Rate]]</f>
        <v>262.5</v>
      </c>
    </row>
    <row r="22" spans="1:12" x14ac:dyDescent="0.3">
      <c r="A22" t="s">
        <v>30</v>
      </c>
      <c r="B22" s="1">
        <v>10384</v>
      </c>
      <c r="C22" s="1" t="s">
        <v>98</v>
      </c>
      <c r="D22" s="2">
        <v>44478</v>
      </c>
      <c r="E22" t="s">
        <v>75</v>
      </c>
      <c r="F22" t="s">
        <v>76</v>
      </c>
      <c r="G22" t="s">
        <v>39</v>
      </c>
      <c r="H22" t="s">
        <v>40</v>
      </c>
      <c r="I22" t="s">
        <v>16</v>
      </c>
      <c r="J22" s="3">
        <v>4.5</v>
      </c>
      <c r="K22" s="4">
        <v>90</v>
      </c>
      <c r="L22" s="4">
        <f>OctWk1[[#This Row],[Billable Hours]]*OctWk1[[#This Row],[Rate]]</f>
        <v>405</v>
      </c>
    </row>
    <row r="23" spans="1:12" x14ac:dyDescent="0.3">
      <c r="A23" t="s">
        <v>28</v>
      </c>
      <c r="B23" s="1">
        <v>10495</v>
      </c>
      <c r="C23" s="1" t="s">
        <v>99</v>
      </c>
      <c r="D23" s="2">
        <v>44478</v>
      </c>
      <c r="E23" t="s">
        <v>77</v>
      </c>
      <c r="F23" t="s">
        <v>78</v>
      </c>
      <c r="G23" t="s">
        <v>37</v>
      </c>
      <c r="H23" t="s">
        <v>38</v>
      </c>
      <c r="I23" t="s">
        <v>29</v>
      </c>
      <c r="J23" s="3">
        <v>3.75</v>
      </c>
      <c r="K23" s="4">
        <v>100</v>
      </c>
      <c r="L23" s="4">
        <f>OctWk1[[#This Row],[Billable Hours]]*OctWk1[[#This Row],[Rate]]</f>
        <v>375</v>
      </c>
    </row>
    <row r="24" spans="1:12" x14ac:dyDescent="0.3">
      <c r="A24" t="s">
        <v>44</v>
      </c>
      <c r="B24" s="1">
        <v>10512</v>
      </c>
      <c r="C24" s="1" t="s">
        <v>100</v>
      </c>
      <c r="D24" s="2">
        <v>44478</v>
      </c>
      <c r="E24" t="s">
        <v>79</v>
      </c>
      <c r="F24" t="s">
        <v>80</v>
      </c>
      <c r="G24" t="s">
        <v>39</v>
      </c>
      <c r="H24" t="s">
        <v>40</v>
      </c>
      <c r="I24" t="s">
        <v>16</v>
      </c>
      <c r="J24" s="3">
        <v>2.5</v>
      </c>
      <c r="K24" s="5">
        <v>75</v>
      </c>
      <c r="L24" s="4">
        <f>OctWk1[[#This Row],[Billable Hours]]*OctWk1[[#This Row],[Rate]]</f>
        <v>187.5</v>
      </c>
    </row>
    <row r="25" spans="1:12" x14ac:dyDescent="0.3">
      <c r="A25" t="s">
        <v>19</v>
      </c>
      <c r="B25" s="1">
        <v>10420</v>
      </c>
      <c r="C25" s="1" t="s">
        <v>92</v>
      </c>
      <c r="D25" s="2">
        <v>44478</v>
      </c>
      <c r="E25" t="s">
        <v>63</v>
      </c>
      <c r="F25" t="s">
        <v>64</v>
      </c>
      <c r="G25" t="s">
        <v>37</v>
      </c>
      <c r="H25" t="s">
        <v>38</v>
      </c>
      <c r="I25" t="s">
        <v>20</v>
      </c>
      <c r="J25" s="3">
        <v>2.25</v>
      </c>
      <c r="K25" s="5">
        <v>100</v>
      </c>
      <c r="L25" s="4">
        <f>OctWk1[[#This Row],[Billable Hours]]*OctWk1[[#This Row],[Rate]]</f>
        <v>225</v>
      </c>
    </row>
    <row r="26" spans="1:12" x14ac:dyDescent="0.3">
      <c r="A26" t="s">
        <v>11</v>
      </c>
      <c r="B26" s="1">
        <v>10210</v>
      </c>
      <c r="C26" s="1" t="s">
        <v>87</v>
      </c>
      <c r="D26" s="2">
        <v>44478</v>
      </c>
      <c r="E26" t="s">
        <v>53</v>
      </c>
      <c r="F26" t="s">
        <v>54</v>
      </c>
      <c r="G26" t="s">
        <v>37</v>
      </c>
      <c r="H26" t="s">
        <v>38</v>
      </c>
      <c r="I26" t="s">
        <v>12</v>
      </c>
      <c r="J26" s="3">
        <v>1.75</v>
      </c>
      <c r="K26" s="5">
        <v>100</v>
      </c>
      <c r="L26" s="4">
        <f>OctWk1[[#This Row],[Billable Hours]]*OctWk1[[#This Row],[Rate]]</f>
        <v>175</v>
      </c>
    </row>
    <row r="27" spans="1:12" x14ac:dyDescent="0.3">
      <c r="A27" t="s">
        <v>5</v>
      </c>
      <c r="B27" s="1">
        <v>10104</v>
      </c>
      <c r="C27" s="1" t="s">
        <v>84</v>
      </c>
      <c r="D27" s="2">
        <v>44478</v>
      </c>
      <c r="E27" t="s">
        <v>47</v>
      </c>
      <c r="F27" t="s">
        <v>48</v>
      </c>
      <c r="G27" t="s">
        <v>34</v>
      </c>
      <c r="H27" t="s">
        <v>41</v>
      </c>
      <c r="I27" t="s">
        <v>6</v>
      </c>
      <c r="J27" s="3">
        <v>5.75</v>
      </c>
      <c r="K27" s="5">
        <v>85</v>
      </c>
      <c r="L27" s="4">
        <f>OctWk1[[#This Row],[Billable Hours]]*OctWk1[[#This Row],[Rate]]</f>
        <v>488.75</v>
      </c>
    </row>
    <row r="28" spans="1:12" x14ac:dyDescent="0.3">
      <c r="A28" t="s">
        <v>46</v>
      </c>
      <c r="B28" s="1">
        <f>SUBTOTAL(103,OctWk1[Client])</f>
        <v>23</v>
      </c>
      <c r="D28" s="1"/>
      <c r="J28" s="3">
        <f>SUBTOTAL(109,OctWk1[Billable Hours])</f>
        <v>94.75</v>
      </c>
      <c r="K28" s="8"/>
      <c r="L28" s="7">
        <f>SUBTOTAL(109,OctWk1[Fees Due])</f>
        <v>8405</v>
      </c>
    </row>
  </sheetData>
  <mergeCells count="3">
    <mergeCell ref="A1:L1"/>
    <mergeCell ref="A2:L2"/>
    <mergeCell ref="A3:L3"/>
  </mergeCells>
  <dataValidations count="3">
    <dataValidation type="date" allowBlank="1" showInputMessage="1" showErrorMessage="1" errorTitle="Data is outside selected range." error="Please enter a date from October 5 to October 9, 2015." promptTitle="Billing Date" prompt="This worksheet is for the week of October 5 to October 9 only." sqref="D5:D27" xr:uid="{00000000-0002-0000-0000-000000000000}">
      <formula1>43013</formula1>
      <formula2>43017</formula2>
    </dataValidation>
    <dataValidation type="list" allowBlank="1" showInputMessage="1" showErrorMessage="1" sqref="K5:K27" xr:uid="{00000000-0002-0000-0000-000001000000}">
      <formula1>"75.00, 85.00, 90.00, 100.00"</formula1>
    </dataValidation>
    <dataValidation type="textLength" operator="equal" allowBlank="1" showInputMessage="1" showErrorMessage="1" sqref="B5:B27" xr:uid="{00000000-0002-0000-0000-000002000000}">
      <formula1>5</formula1>
    </dataValidation>
  </dataValidations>
  <printOptions horizontalCentered="1"/>
  <pageMargins left="0.7" right="0.7" top="0.75" bottom="0.75" header="0.3" footer="0.3"/>
  <pageSetup scale="6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2013-10-13T23:50:36Z</cp:lastPrinted>
  <dcterms:created xsi:type="dcterms:W3CDTF">2010-03-06T13:08:46Z</dcterms:created>
  <dcterms:modified xsi:type="dcterms:W3CDTF">2021-02-15T20:24:00Z</dcterms:modified>
</cp:coreProperties>
</file>