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Users\clance\Documents\Work Force\Vestas Intermediate 2021\2021 Intermediate Files\"/>
    </mc:Choice>
  </mc:AlternateContent>
  <xr:revisionPtr revIDLastSave="0" documentId="13_ncr:1_{D0C6660B-8EA0-4702-A28E-190E7992AE51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estRegionTargetRevenue" sheetId="1" r:id="rId1"/>
  </sheets>
  <calcPr calcId="191029"/>
</workbook>
</file>

<file path=xl/calcChain.xml><?xml version="1.0" encoding="utf-8"?>
<calcChain xmlns="http://schemas.openxmlformats.org/spreadsheetml/2006/main">
  <c r="M11" i="1" l="1"/>
  <c r="J11" i="1"/>
  <c r="G11" i="1"/>
  <c r="D11" i="1"/>
  <c r="M10" i="1"/>
  <c r="J10" i="1"/>
  <c r="G10" i="1"/>
  <c r="D10" i="1"/>
  <c r="M9" i="1"/>
  <c r="J9" i="1"/>
  <c r="G9" i="1"/>
  <c r="D9" i="1"/>
  <c r="M8" i="1"/>
  <c r="J8" i="1"/>
  <c r="G8" i="1"/>
  <c r="D8" i="1"/>
  <c r="M7" i="1"/>
  <c r="J7" i="1"/>
  <c r="G7" i="1"/>
  <c r="D7" i="1"/>
  <c r="M6" i="1"/>
  <c r="M12" i="1" s="1"/>
  <c r="J6" i="1"/>
  <c r="J12" i="1" s="1"/>
  <c r="G6" i="1"/>
  <c r="G12" i="1" s="1"/>
  <c r="D6" i="1"/>
  <c r="J15" i="1" l="1"/>
  <c r="J16" i="1"/>
  <c r="J17" i="1"/>
  <c r="J18" i="1"/>
  <c r="J20" i="1"/>
  <c r="J19" i="1"/>
  <c r="D12" i="1"/>
  <c r="E14" i="1" s="1"/>
  <c r="J21" i="1" l="1"/>
</calcChain>
</file>

<file path=xl/sharedStrings.xml><?xml version="1.0" encoding="utf-8"?>
<sst xmlns="http://schemas.openxmlformats.org/spreadsheetml/2006/main" count="38" uniqueCount="25">
  <si>
    <t>CutRate Car Rentals</t>
  </si>
  <si>
    <t>Estimated Monthly Revenue</t>
  </si>
  <si>
    <t>West Region</t>
  </si>
  <si>
    <t>Effective Date:</t>
  </si>
  <si>
    <t>Weekday
(Mo to Th)</t>
  </si>
  <si>
    <t>Target
Rentals</t>
  </si>
  <si>
    <t>Target
Revenue</t>
  </si>
  <si>
    <t>Weekend
(Fr to Su)</t>
  </si>
  <si>
    <t>Weekly
(*Min 5 days)</t>
  </si>
  <si>
    <t>Monthly
(*Min 21 days)</t>
  </si>
  <si>
    <t>Compact</t>
  </si>
  <si>
    <t>Mid-size</t>
  </si>
  <si>
    <t>Full-size</t>
  </si>
  <si>
    <t>Minivan</t>
  </si>
  <si>
    <t>SUV</t>
  </si>
  <si>
    <t>Luxury</t>
  </si>
  <si>
    <t>TOTAL</t>
  </si>
  <si>
    <t>Weekday:</t>
  </si>
  <si>
    <t>Weekend:</t>
  </si>
  <si>
    <t>Weekly:</t>
  </si>
  <si>
    <t>Monthly:</t>
  </si>
  <si>
    <t>*Days rented must be consecutive to qualify for weekly or monthly rate.</t>
  </si>
  <si>
    <t>TOTAL ESTIMATED MONTHLY REVENUE</t>
  </si>
  <si>
    <t>TOTAL ESTIMATED MONTHLY REVENUE BY CRITERIA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</si>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</sst>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m\ d\,\ yyyy;@"/>
    <numFmt numFmtId="166" formatCode="_(&quot;$&quot;* #,##0_);_(&quot;$&quot;* \(#,##0\);_(&quot;$&quot;* &quot;-&quot;??_);_(@_)"/>
  </numFmts>
  <fonts count="11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  <font>
      <i/>
      <sz val="10"/>
      <color theme="1"/>
      <name val="Century Gothic"/>
      <family val="2"/>
      <scheme val="minor"/>
    </font>
    <font>
      <sz val="12"/>
      <color theme="1"/>
      <name val="Rockwell Extra Bold"/>
      <family val="1"/>
    </font>
    <font>
      <b/>
      <sz val="10"/>
      <color theme="0"/>
      <name val="Century Gothic"/>
      <family val="2"/>
      <scheme val="minor"/>
    </font>
    <font>
      <sz val="14"/>
      <name val="Rockwell Extra Bold"/>
      <family val="1"/>
    </font>
    <font>
      <sz val="12"/>
      <name val="Rockwell Extra Bold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0" applyFont="1" applyAlignment="1">
      <alignment horizontal="right"/>
    </xf>
    <xf numFmtId="43" fontId="4" fillId="0" borderId="0" xfId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41" fontId="5" fillId="0" borderId="0" xfId="1" applyNumberFormat="1" applyFont="1" applyFill="1" applyAlignment="1">
      <alignment horizontal="right"/>
    </xf>
    <xf numFmtId="43" fontId="4" fillId="0" borderId="0" xfId="1" applyFont="1" applyAlignment="1">
      <alignment horizontal="right"/>
    </xf>
    <xf numFmtId="164" fontId="4" fillId="0" borderId="0" xfId="1" applyNumberFormat="1" applyFont="1" applyAlignment="1">
      <alignment horizontal="right"/>
    </xf>
    <xf numFmtId="41" fontId="5" fillId="0" borderId="0" xfId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1" fontId="0" fillId="0" borderId="0" xfId="0" applyNumberFormat="1"/>
    <xf numFmtId="0" fontId="6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2" borderId="0" xfId="0" applyFill="1"/>
    <xf numFmtId="0" fontId="2" fillId="3" borderId="2" xfId="0" applyFont="1" applyFill="1" applyBorder="1" applyAlignment="1">
      <alignment horizontal="right"/>
    </xf>
    <xf numFmtId="0" fontId="8" fillId="3" borderId="2" xfId="0" applyFont="1" applyFill="1" applyBorder="1" applyAlignment="1">
      <alignment horizontal="center" wrapText="1"/>
    </xf>
    <xf numFmtId="0" fontId="4" fillId="4" borderId="0" xfId="0" applyFont="1" applyFill="1" applyAlignment="1">
      <alignment horizontal="right"/>
    </xf>
    <xf numFmtId="43" fontId="4" fillId="4" borderId="0" xfId="1" applyFont="1" applyFill="1" applyAlignment="1">
      <alignment horizontal="right"/>
    </xf>
    <xf numFmtId="164" fontId="4" fillId="4" borderId="0" xfId="1" applyNumberFormat="1" applyFont="1" applyFill="1" applyAlignment="1">
      <alignment horizontal="right"/>
    </xf>
    <xf numFmtId="41" fontId="5" fillId="4" borderId="0" xfId="1" applyNumberFormat="1" applyFont="1" applyFill="1" applyAlignment="1">
      <alignment horizontal="right"/>
    </xf>
    <xf numFmtId="44" fontId="4" fillId="0" borderId="0" xfId="2" applyFont="1" applyFill="1" applyAlignment="1">
      <alignment horizontal="right"/>
    </xf>
    <xf numFmtId="166" fontId="5" fillId="0" borderId="0" xfId="2" applyNumberFormat="1" applyFont="1" applyFill="1" applyAlignment="1">
      <alignment horizontal="right"/>
    </xf>
    <xf numFmtId="44" fontId="4" fillId="0" borderId="0" xfId="2" applyFont="1" applyAlignment="1">
      <alignment horizontal="right"/>
    </xf>
    <xf numFmtId="166" fontId="5" fillId="0" borderId="0" xfId="2" applyNumberFormat="1" applyFont="1" applyAlignment="1">
      <alignment horizontal="right"/>
    </xf>
    <xf numFmtId="166" fontId="5" fillId="0" borderId="3" xfId="2" applyNumberFormat="1" applyFont="1" applyBorder="1"/>
    <xf numFmtId="42" fontId="3" fillId="0" borderId="3" xfId="0" applyNumberFormat="1" applyFont="1" applyBorder="1"/>
    <xf numFmtId="42" fontId="5" fillId="0" borderId="3" xfId="0" applyNumberFormat="1" applyFont="1" applyBorder="1"/>
    <xf numFmtId="42" fontId="0" fillId="0" borderId="0" xfId="0" applyNumberFormat="1"/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5" fontId="3" fillId="2" borderId="1" xfId="0" applyNumberFormat="1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213043</xdr:colOff>
      <xdr:row>0</xdr:row>
      <xdr:rowOff>304802</xdr:rowOff>
    </xdr:from>
    <xdr:to>
      <xdr:col>10</xdr:col>
      <xdr:colOff>962851</xdr:colOff>
      <xdr:row>2</xdr:row>
      <xdr:rowOff>70481</xdr:rowOff>
    </xdr:to>
    <xdr:pic>
      <xdr:nvPicPr>
        <xdr:cNvPr id="6" name="Picture 5" descr="C:\Users\Denise\AppData\Local\Microsoft\Windows\Temporary Internet Files\Content.IE5\67NN49EP\MC900368422[1].wm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6868" y="304802"/>
          <a:ext cx="749808" cy="432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pothecary">
  <a:themeElements>
    <a:clrScheme name="Apothecary">
      <a:dk1>
        <a:sysClr val="windowText" lastClr="000000"/>
      </a:dk1>
      <a:lt1>
        <a:sysClr val="window" lastClr="FFFFFF"/>
      </a:lt1>
      <a:dk2>
        <a:srgbClr val="564B3C"/>
      </a:dk2>
      <a:lt2>
        <a:srgbClr val="ECEDD1"/>
      </a:lt2>
      <a:accent1>
        <a:srgbClr val="93A299"/>
      </a:accent1>
      <a:accent2>
        <a:srgbClr val="CF543F"/>
      </a:accent2>
      <a:accent3>
        <a:srgbClr val="B5AE53"/>
      </a:accent3>
      <a:accent4>
        <a:srgbClr val="848058"/>
      </a:accent4>
      <a:accent5>
        <a:srgbClr val="E8B54D"/>
      </a:accent5>
      <a:accent6>
        <a:srgbClr val="786C71"/>
      </a:accent6>
      <a:hlink>
        <a:srgbClr val="CCCC00"/>
      </a:hlink>
      <a:folHlink>
        <a:srgbClr val="B2B2B2"/>
      </a:folHlink>
    </a:clrScheme>
    <a:fontScheme name="Apothecary">
      <a:majorFont>
        <a:latin typeface="Book Antiqua"/>
        <a:ea typeface=""/>
        <a:cs typeface=""/>
        <a:font script="Jpan" typeface="HGS明朝B"/>
        <a:font script="Hang" typeface="돋움"/>
        <a:font script="Hans" typeface="宋体"/>
        <a:font script="Hant" typeface="新細明體"/>
        <a:font script="Arab" typeface="Times New Roman"/>
        <a:font script="Hebr" typeface="David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pothecary">
      <a:fillStyleLst>
        <a:solidFill>
          <a:schemeClr val="phClr"/>
        </a:solidFill>
        <a:gradFill rotWithShape="1">
          <a:gsLst>
            <a:gs pos="0">
              <a:schemeClr val="phClr">
                <a:tint val="1000"/>
                <a:satMod val="100000"/>
              </a:schemeClr>
            </a:gs>
            <a:gs pos="68000">
              <a:schemeClr val="phClr">
                <a:tint val="77000"/>
                <a:satMod val="100000"/>
              </a:schemeClr>
            </a:gs>
            <a:gs pos="81000">
              <a:schemeClr val="phClr">
                <a:tint val="79000"/>
                <a:satMod val="100000"/>
              </a:schemeClr>
            </a:gs>
            <a:gs pos="86000">
              <a:schemeClr val="phClr">
                <a:tint val="73000"/>
                <a:satMod val="100000"/>
              </a:schemeClr>
            </a:gs>
            <a:gs pos="100000">
              <a:schemeClr val="phClr">
                <a:tint val="35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73000"/>
                <a:shade val="100000"/>
                <a:satMod val="150000"/>
              </a:schemeClr>
            </a:gs>
            <a:gs pos="25000">
              <a:schemeClr val="phClr">
                <a:tint val="96000"/>
                <a:shade val="80000"/>
                <a:satMod val="105000"/>
              </a:schemeClr>
            </a:gs>
            <a:gs pos="38000">
              <a:schemeClr val="phClr">
                <a:tint val="96000"/>
                <a:shade val="59000"/>
                <a:satMod val="120000"/>
              </a:schemeClr>
            </a:gs>
            <a:gs pos="55000">
              <a:schemeClr val="phClr">
                <a:tint val="100000"/>
                <a:shade val="57000"/>
                <a:satMod val="120000"/>
              </a:schemeClr>
            </a:gs>
            <a:gs pos="80000">
              <a:schemeClr val="phClr">
                <a:tint val="100000"/>
                <a:shade val="56000"/>
                <a:satMod val="145000"/>
              </a:schemeClr>
            </a:gs>
            <a:gs pos="88000">
              <a:schemeClr val="phClr">
                <a:tint val="100000"/>
                <a:shade val="63000"/>
                <a:satMod val="160000"/>
              </a:schemeClr>
            </a:gs>
            <a:gs pos="100000">
              <a:schemeClr val="phClr">
                <a:tint val="99000"/>
                <a:shade val="100000"/>
                <a:satMod val="155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glow" dir="tl">
              <a:rot lat="0" lon="0" rev="1800000"/>
            </a:lightRig>
          </a:scene3d>
          <a:sp3d contourW="10160" prstMaterial="dkEdge">
            <a:bevelT w="0" h="0" prst="angle"/>
            <a:contourClr>
              <a:schemeClr val="phClr">
                <a:shade val="30000"/>
                <a:satMod val="150000"/>
              </a:schemeClr>
            </a:contourClr>
          </a:sp3d>
        </a:effectStyle>
        <a:effectStyle>
          <a:effectLst>
            <a:glow rad="50800">
              <a:schemeClr val="phClr">
                <a:tint val="68000"/>
                <a:shade val="93000"/>
                <a:alpha val="37000"/>
                <a:satMod val="250000"/>
              </a:schemeClr>
            </a:glow>
          </a:effectLst>
          <a:scene3d>
            <a:camera prst="orthographicFront">
              <a:rot lat="0" lon="0" rev="0"/>
            </a:camera>
            <a:lightRig rig="glow" dir="t">
              <a:rot lat="0" lon="0" rev="1800000"/>
            </a:lightRig>
          </a:scene3d>
          <a:sp3d contourW="10160" prstMaterial="dkEdge">
            <a:bevelT w="20320" h="19050" prst="angle"/>
            <a:contourClr>
              <a:schemeClr val="phClr">
                <a:shade val="3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3000"/>
            <a:satMod val="14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atMod val="170000"/>
              </a:schemeClr>
              <a:schemeClr val="phClr">
                <a:shade val="70000"/>
                <a:satMod val="13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tabSelected="1" workbookViewId="0">
      <selection activeCell="F19" sqref="F19"/>
    </sheetView>
  </sheetViews>
  <sheetFormatPr defaultRowHeight="13.8" x14ac:dyDescent="0.25"/>
  <cols>
    <col min="1" max="1" width="11" customWidth="1"/>
    <col min="2" max="2" width="10.59765625" customWidth="1"/>
    <col min="3" max="3" width="9.59765625" customWidth="1"/>
    <col min="4" max="4" width="10.3984375" customWidth="1"/>
    <col min="5" max="5" width="10.69921875" customWidth="1"/>
    <col min="6" max="6" width="9.69921875" customWidth="1"/>
    <col min="7" max="7" width="9.8984375" customWidth="1"/>
    <col min="8" max="8" width="12.69921875" customWidth="1"/>
    <col min="9" max="9" width="7.69921875" customWidth="1"/>
    <col min="10" max="10" width="9.69921875" customWidth="1"/>
    <col min="11" max="11" width="13.69921875" customWidth="1"/>
    <col min="12" max="12" width="8.3984375" customWidth="1"/>
    <col min="13" max="13" width="10.8984375" customWidth="1"/>
  </cols>
  <sheetData>
    <row r="1" spans="1:13" ht="28.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ht="24" customHeight="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6.5" customHeight="1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x14ac:dyDescent="0.25">
      <c r="A4" s="34" t="s">
        <v>3</v>
      </c>
      <c r="B4" s="34"/>
      <c r="C4" s="36">
        <v>44317</v>
      </c>
      <c r="D4" s="36"/>
      <c r="E4" s="16"/>
      <c r="F4" s="16"/>
      <c r="G4" s="16"/>
      <c r="H4" s="16"/>
      <c r="I4" s="16"/>
      <c r="J4" s="16"/>
      <c r="K4" s="16"/>
      <c r="L4" s="16"/>
      <c r="M4" s="16"/>
    </row>
    <row r="5" spans="1:13" ht="42.75" customHeight="1" x14ac:dyDescent="0.25">
      <c r="A5" s="17" t="s">
        <v>24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5</v>
      </c>
      <c r="G5" s="18" t="s">
        <v>6</v>
      </c>
      <c r="H5" s="18" t="s">
        <v>8</v>
      </c>
      <c r="I5" s="18" t="s">
        <v>5</v>
      </c>
      <c r="J5" s="18" t="s">
        <v>6</v>
      </c>
      <c r="K5" s="18" t="s">
        <v>9</v>
      </c>
      <c r="L5" s="18" t="s">
        <v>5</v>
      </c>
      <c r="M5" s="18" t="s">
        <v>6</v>
      </c>
    </row>
    <row r="6" spans="1:13" x14ac:dyDescent="0.25">
      <c r="A6" s="1" t="s">
        <v>10</v>
      </c>
      <c r="B6" s="23">
        <v>35.99</v>
      </c>
      <c r="C6" s="3">
        <v>362</v>
      </c>
      <c r="D6" s="24">
        <f>B6*C6</f>
        <v>13028.380000000001</v>
      </c>
      <c r="E6" s="25">
        <v>55.99</v>
      </c>
      <c r="F6" s="6">
        <v>165</v>
      </c>
      <c r="G6" s="26">
        <f>E6*F6</f>
        <v>9238.35</v>
      </c>
      <c r="H6" s="23">
        <v>175.99</v>
      </c>
      <c r="I6" s="3">
        <v>33</v>
      </c>
      <c r="J6" s="24">
        <f>H6*I6</f>
        <v>5807.67</v>
      </c>
      <c r="K6" s="25">
        <v>675.99</v>
      </c>
      <c r="L6" s="6">
        <v>15</v>
      </c>
      <c r="M6" s="24">
        <f>L6*K6</f>
        <v>10139.85</v>
      </c>
    </row>
    <row r="7" spans="1:13" x14ac:dyDescent="0.25">
      <c r="A7" s="19" t="s">
        <v>11</v>
      </c>
      <c r="B7" s="20">
        <v>38.99</v>
      </c>
      <c r="C7" s="21">
        <v>285</v>
      </c>
      <c r="D7" s="22">
        <f t="shared" ref="D7:D11" si="0">B7*C7</f>
        <v>11112.150000000001</v>
      </c>
      <c r="E7" s="20">
        <v>62.99</v>
      </c>
      <c r="F7" s="21">
        <v>214</v>
      </c>
      <c r="G7" s="22">
        <f t="shared" ref="G7:G11" si="1">E7*F7</f>
        <v>13479.86</v>
      </c>
      <c r="H7" s="20">
        <v>185.99</v>
      </c>
      <c r="I7" s="21">
        <v>25</v>
      </c>
      <c r="J7" s="22">
        <f t="shared" ref="J7:J11" si="2">H7*I7</f>
        <v>4649.75</v>
      </c>
      <c r="K7" s="20">
        <v>692.99</v>
      </c>
      <c r="L7" s="21">
        <v>10</v>
      </c>
      <c r="M7" s="22">
        <f t="shared" ref="M7:M11" si="3">L7*K7</f>
        <v>6929.9</v>
      </c>
    </row>
    <row r="8" spans="1:13" x14ac:dyDescent="0.25">
      <c r="A8" s="1" t="s">
        <v>12</v>
      </c>
      <c r="B8" s="2">
        <v>40.99</v>
      </c>
      <c r="C8" s="3">
        <v>175</v>
      </c>
      <c r="D8" s="4">
        <f t="shared" si="0"/>
        <v>7173.25</v>
      </c>
      <c r="E8" s="5">
        <v>65.989999999999995</v>
      </c>
      <c r="F8" s="6">
        <v>75</v>
      </c>
      <c r="G8" s="7">
        <f t="shared" si="1"/>
        <v>4949.25</v>
      </c>
      <c r="H8" s="2">
        <v>215.99</v>
      </c>
      <c r="I8" s="3">
        <v>30</v>
      </c>
      <c r="J8" s="4">
        <f t="shared" si="2"/>
        <v>6479.7000000000007</v>
      </c>
      <c r="K8" s="5">
        <v>775.99</v>
      </c>
      <c r="L8" s="6">
        <v>8</v>
      </c>
      <c r="M8" s="4">
        <f t="shared" si="3"/>
        <v>6207.92</v>
      </c>
    </row>
    <row r="9" spans="1:13" x14ac:dyDescent="0.25">
      <c r="A9" s="19" t="s">
        <v>13</v>
      </c>
      <c r="B9" s="20">
        <v>75.989999999999995</v>
      </c>
      <c r="C9" s="21">
        <v>155</v>
      </c>
      <c r="D9" s="22">
        <f t="shared" si="0"/>
        <v>11778.449999999999</v>
      </c>
      <c r="E9" s="20">
        <v>130.99</v>
      </c>
      <c r="F9" s="21">
        <v>68</v>
      </c>
      <c r="G9" s="22">
        <f t="shared" si="1"/>
        <v>8907.32</v>
      </c>
      <c r="H9" s="20">
        <v>251.99</v>
      </c>
      <c r="I9" s="21">
        <v>28</v>
      </c>
      <c r="J9" s="22">
        <f t="shared" si="2"/>
        <v>7055.72</v>
      </c>
      <c r="K9" s="20">
        <v>866.99</v>
      </c>
      <c r="L9" s="21">
        <v>8</v>
      </c>
      <c r="M9" s="22">
        <f t="shared" si="3"/>
        <v>6935.92</v>
      </c>
    </row>
    <row r="10" spans="1:13" x14ac:dyDescent="0.25">
      <c r="A10" s="1" t="s">
        <v>14</v>
      </c>
      <c r="B10" s="2">
        <v>89.99</v>
      </c>
      <c r="C10" s="3">
        <v>124</v>
      </c>
      <c r="D10" s="4">
        <f t="shared" si="0"/>
        <v>11158.76</v>
      </c>
      <c r="E10" s="5">
        <v>139.99</v>
      </c>
      <c r="F10" s="6">
        <v>22</v>
      </c>
      <c r="G10" s="7">
        <f t="shared" si="1"/>
        <v>3079.78</v>
      </c>
      <c r="H10" s="2">
        <v>249.99</v>
      </c>
      <c r="I10" s="3">
        <v>22</v>
      </c>
      <c r="J10" s="4">
        <f t="shared" si="2"/>
        <v>5499.7800000000007</v>
      </c>
      <c r="K10" s="5">
        <v>885.99</v>
      </c>
      <c r="L10" s="6">
        <v>8</v>
      </c>
      <c r="M10" s="4">
        <f t="shared" si="3"/>
        <v>7087.92</v>
      </c>
    </row>
    <row r="11" spans="1:13" x14ac:dyDescent="0.25">
      <c r="A11" s="19" t="s">
        <v>15</v>
      </c>
      <c r="B11" s="20">
        <v>99.99</v>
      </c>
      <c r="C11" s="21">
        <v>55</v>
      </c>
      <c r="D11" s="22">
        <f t="shared" si="0"/>
        <v>5499.45</v>
      </c>
      <c r="E11" s="20">
        <v>155.99</v>
      </c>
      <c r="F11" s="21">
        <v>30</v>
      </c>
      <c r="G11" s="22">
        <f t="shared" si="1"/>
        <v>4679.7000000000007</v>
      </c>
      <c r="H11" s="20">
        <v>329.99</v>
      </c>
      <c r="I11" s="21">
        <v>10</v>
      </c>
      <c r="J11" s="22">
        <f t="shared" si="2"/>
        <v>3299.9</v>
      </c>
      <c r="K11" s="20">
        <v>999.99</v>
      </c>
      <c r="L11" s="21">
        <v>5</v>
      </c>
      <c r="M11" s="22">
        <f t="shared" si="3"/>
        <v>4999.95</v>
      </c>
    </row>
    <row r="12" spans="1:13" ht="14.4" thickBot="1" x14ac:dyDescent="0.3">
      <c r="A12" s="8" t="s">
        <v>16</v>
      </c>
      <c r="B12" s="9"/>
      <c r="C12" s="10" t="s">
        <v>17</v>
      </c>
      <c r="D12" s="27">
        <f>SUM(D6:D11)</f>
        <v>59750.44</v>
      </c>
      <c r="E12" s="9"/>
      <c r="F12" s="10" t="s">
        <v>18</v>
      </c>
      <c r="G12" s="29">
        <f>SUM(G6:G11)</f>
        <v>44334.259999999995</v>
      </c>
      <c r="H12" s="9"/>
      <c r="I12" s="10" t="s">
        <v>19</v>
      </c>
      <c r="J12" s="29">
        <f>SUM(J6:J11)</f>
        <v>32792.520000000004</v>
      </c>
      <c r="K12" s="9"/>
      <c r="L12" s="10" t="s">
        <v>20</v>
      </c>
      <c r="M12" s="29">
        <f>SUM(M6:M11)</f>
        <v>42301.459999999992</v>
      </c>
    </row>
    <row r="13" spans="1:13" ht="14.4" thickTop="1" x14ac:dyDescent="0.25"/>
    <row r="14" spans="1:13" ht="14.4" thickBot="1" x14ac:dyDescent="0.3">
      <c r="A14" s="35" t="s">
        <v>22</v>
      </c>
      <c r="B14" s="35"/>
      <c r="C14" s="35"/>
      <c r="D14" s="35"/>
      <c r="E14" s="28">
        <f>D12+G12+J12+M12</f>
        <v>179178.68</v>
      </c>
      <c r="H14" s="11" t="s">
        <v>23</v>
      </c>
    </row>
    <row r="15" spans="1:13" ht="14.4" thickTop="1" x14ac:dyDescent="0.25">
      <c r="H15" s="12" t="s">
        <v>10</v>
      </c>
      <c r="J15" s="30">
        <f>D6+G6+J6+M6</f>
        <v>38214.25</v>
      </c>
    </row>
    <row r="16" spans="1:13" x14ac:dyDescent="0.25">
      <c r="A16" s="14" t="s">
        <v>21</v>
      </c>
      <c r="H16" s="12" t="s">
        <v>11</v>
      </c>
      <c r="J16" s="13">
        <f t="shared" ref="J16:J20" si="4">D7+G7+J7+M7</f>
        <v>36171.660000000003</v>
      </c>
    </row>
    <row r="17" spans="1:10" x14ac:dyDescent="0.25">
      <c r="A17" s="14"/>
      <c r="H17" s="12" t="s">
        <v>12</v>
      </c>
      <c r="J17" s="13">
        <f t="shared" si="4"/>
        <v>24810.120000000003</v>
      </c>
    </row>
    <row r="18" spans="1:10" x14ac:dyDescent="0.25">
      <c r="H18" s="12" t="s">
        <v>13</v>
      </c>
      <c r="J18" s="13">
        <f t="shared" si="4"/>
        <v>34677.409999999996</v>
      </c>
    </row>
    <row r="19" spans="1:10" x14ac:dyDescent="0.25">
      <c r="H19" s="12" t="s">
        <v>14</v>
      </c>
      <c r="J19" s="13">
        <f t="shared" si="4"/>
        <v>26826.239999999998</v>
      </c>
    </row>
    <row r="20" spans="1:10" x14ac:dyDescent="0.25">
      <c r="H20" s="12" t="s">
        <v>15</v>
      </c>
      <c r="J20" s="13">
        <f t="shared" si="4"/>
        <v>18479</v>
      </c>
    </row>
    <row r="21" spans="1:10" ht="14.4" thickBot="1" x14ac:dyDescent="0.3">
      <c r="H21" s="15" t="s">
        <v>16</v>
      </c>
      <c r="J21" s="28">
        <f>SUM(J15:J20)</f>
        <v>179178.68</v>
      </c>
    </row>
    <row r="22" spans="1:10" ht="14.4" thickTop="1" x14ac:dyDescent="0.25"/>
  </sheetData>
  <mergeCells count="6">
    <mergeCell ref="A1:M1"/>
    <mergeCell ref="A2:M2"/>
    <mergeCell ref="A3:M3"/>
    <mergeCell ref="A4:B4"/>
    <mergeCell ref="A14:D14"/>
    <mergeCell ref="C4:D4"/>
  </mergeCells>
  <pageMargins left="0.7" right="0.7" top="0.75" bottom="0.75" header="0.3" footer="0.3"/>
  <pageSetup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WestRegionTargetRevenue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Paradigm Publishing Inc.</dc:creator>
  <cp:lastModifiedBy>Connie Lance</cp:lastModifiedBy>
  <cp:lastPrinted>2010-03-30T02:25:54Z</cp:lastPrinted>
  <dcterms:created xsi:type="dcterms:W3CDTF">2010-03-20T18:20:49Z</dcterms:created>
  <dcterms:modified xsi:type="dcterms:W3CDTF">2021-02-13T22:23:41Z</dcterms:modified>
</cp:coreProperties>
</file>